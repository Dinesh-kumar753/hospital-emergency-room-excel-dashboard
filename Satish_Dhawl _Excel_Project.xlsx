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Projects For data analyst📊\EXCEL PROJECTS\Satish Dhawale Excel Project\"/>
    </mc:Choice>
  </mc:AlternateContent>
  <xr:revisionPtr revIDLastSave="0" documentId="8_{BA3B7FA1-A8CD-4D87-8179-9F6DE71FBEA4}" xr6:coauthVersionLast="47" xr6:coauthVersionMax="47" xr10:uidLastSave="{00000000-0000-0000-0000-000000000000}"/>
  <bookViews>
    <workbookView xWindow="-108" yWindow="-108" windowWidth="23256" windowHeight="14616" firstSheet="1" activeTab="1" xr2:uid="{7895A160-2AC7-4AB0-84BA-317651D5EB71}"/>
  </bookViews>
  <sheets>
    <sheet name="Pivot Report" sheetId="1" r:id="rId1"/>
    <sheet name="Dashboard" sheetId="2" r:id="rId2"/>
    <sheet name="Daily ER No of patient" sheetId="3" r:id="rId3"/>
    <sheet name="Average Wait-Time" sheetId="4" r:id="rId4"/>
    <sheet name="Satisfaction Score" sheetId="5" r:id="rId5"/>
  </sheets>
  <definedNames>
    <definedName name="Slicer_Date__Month">#N/A</definedName>
    <definedName name="Slicer_Date__Year">#N/A</definedName>
  </definedNames>
  <calcPr calcId="191028"/>
  <pivotCaches>
    <pivotCache cacheId="595" r:id="rId6"/>
    <pivotCache cacheId="598" r:id="rId7"/>
    <pivotCache cacheId="601" r:id="rId8"/>
    <pivotCache cacheId="604" r:id="rId9"/>
    <pivotCache cacheId="607" r:id="rId10"/>
    <pivotCache cacheId="610" r:id="rId11"/>
    <pivotCache cacheId="613" r:id="rId12"/>
    <pivotCache cacheId="616" r:id="rId13"/>
    <pivotCache cacheId="619" r:id="rId14"/>
    <pivotCache cacheId="622" r:id="rId15"/>
    <pivotCache cacheId="625" r:id="rId16"/>
  </pivotCaches>
  <extLst>
    <ext xmlns:x14="http://schemas.microsoft.com/office/spreadsheetml/2009/9/main" uri="{876F7934-8845-4945-9796-88D515C7AA90}">
      <x14:pivotCaches>
        <pivotCache cacheId="31"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97b3d82-1e86-4619-a807-e441adf5c1ed" name="Hospital Emergency Room Data" connection="Query - Hospital Emergency Room Data"/>
          <x15:modelTable id="Calendar_Table_559d0792-a935-48b3-9fc6-1b3e80ac50c2"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4" i="1" l="1"/>
  <c r="G14" i="1"/>
  <c r="H14" i="1"/>
  <c r="G13" i="1"/>
  <c r="H13" i="1"/>
  <c r="F1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CEBEA7-3152-4E73-A184-6F0405972998}" name="Query - Calendar_Table" description="Connection to the 'Calendar_Table' query in the workbook." type="100" refreshedVersion="8" minRefreshableVersion="5">
    <extLst>
      <ext xmlns:x15="http://schemas.microsoft.com/office/spreadsheetml/2010/11/main" uri="{DE250136-89BD-433C-8126-D09CA5730AF9}">
        <x15:connection id="b5f62d37-f5fe-404e-9a16-c0cb1bbb177a"/>
      </ext>
    </extLst>
  </connection>
  <connection id="2" xr16:uid="{CF55A664-EA5B-4053-9CAA-FEE24589A03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f8ec448-c839-499f-8440-0b3a66370515"/>
      </ext>
    </extLst>
  </connection>
  <connection id="3" xr16:uid="{C4C46419-37D6-4654-B49E-64095899AA6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<sst xmlns="http://schemas.openxmlformats.org/spreadsheetml/2006/main" count="164" uniqueCount="79">
  <si>
    <t>No. of patient</t>
  </si>
  <si>
    <t>Daily trends of no. of patient</t>
  </si>
  <si>
    <t>Row Labels</t>
  </si>
  <si>
    <t>Distinct Count of Patient Id</t>
  </si>
  <si>
    <t>Count of Patient Id</t>
  </si>
  <si>
    <t>Sort Patients with their age groups</t>
  </si>
  <si>
    <t>Grand Total</t>
  </si>
  <si>
    <t>Count of Patient Admission Flag</t>
  </si>
  <si>
    <t>Count of Patient Admission Flag2</t>
  </si>
  <si>
    <t>Count of Age Group</t>
  </si>
  <si>
    <t>Admitted</t>
  </si>
  <si>
    <t>0-09</t>
  </si>
  <si>
    <t>Column Labels</t>
  </si>
  <si>
    <t>Not Admitted</t>
  </si>
  <si>
    <t>10-19</t>
  </si>
  <si>
    <t>Count of Date</t>
  </si>
  <si>
    <t>20-29</t>
  </si>
  <si>
    <t>Average of Patient Waittime</t>
  </si>
  <si>
    <t>30-39</t>
  </si>
  <si>
    <t>Average of Patient Satisfaction Score</t>
  </si>
  <si>
    <t>40-49</t>
  </si>
  <si>
    <t>Admission Status</t>
  </si>
  <si>
    <t>Patients</t>
  </si>
  <si>
    <t>% of Total</t>
  </si>
  <si>
    <t>50-59</t>
  </si>
  <si>
    <t>60-69</t>
  </si>
  <si>
    <t>70-79</t>
  </si>
  <si>
    <t>SORT BY PATIENT GENDER</t>
  </si>
  <si>
    <t>Patient attend status</t>
  </si>
  <si>
    <t>Count of Patient Gender</t>
  </si>
  <si>
    <t>Count of Patient attend Status</t>
  </si>
  <si>
    <t>Female</t>
  </si>
  <si>
    <t>Delay</t>
  </si>
  <si>
    <t>Male</t>
  </si>
  <si>
    <t>Ontime</t>
  </si>
  <si>
    <t>2023</t>
  </si>
  <si>
    <t>Count of Department Referral</t>
  </si>
  <si>
    <t>Cardiology</t>
  </si>
  <si>
    <t>Gastroenterology</t>
  </si>
  <si>
    <t>General Practice</t>
  </si>
  <si>
    <t>Neurology</t>
  </si>
  <si>
    <t>None</t>
  </si>
  <si>
    <t>Orthopedics</t>
  </si>
  <si>
    <t>Physiotherapy</t>
  </si>
  <si>
    <t>Renal</t>
  </si>
  <si>
    <t>•Showing a daily trend with an area sparkline to spot patterns like busy days or seasonal trends.</t>
  </si>
  <si>
    <t>•Use an area chart to show trends, spot drops in satisfaction</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</si>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</sst>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sz val="20"/>
      <color theme="6" tint="0.39997558519241921"/>
      <name val="Aptos Narrow"/>
      <family val="2"/>
      <scheme val="minor"/>
    </font>
    <font>
      <sz val="11"/>
      <color theme="1"/>
      <name val="Aptos Narrow"/>
      <family val="2"/>
      <scheme val="minor"/>
    </font>
    <font>
      <b/>
      <sz val="11"/>
      <color theme="1"/>
      <name val="Aptos Narrow"/>
      <family val="2"/>
      <scheme val="minor"/>
    </font>
  </fonts>
  <fills count="10">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0"/>
        <bgColor indexed="64"/>
      </patternFill>
    </fill>
    <fill>
      <patternFill patternType="solid">
        <fgColor theme="8" tint="0.79998168889431442"/>
        <bgColor indexed="64"/>
      </patternFill>
    </fill>
    <fill>
      <patternFill patternType="solid">
        <fgColor theme="4" tint="0.79998168889431442"/>
        <bgColor theme="4" tint="0.79998168889431442"/>
      </patternFill>
    </fill>
    <fill>
      <patternFill patternType="solid">
        <fgColor theme="0"/>
        <bgColor theme="4" tint="0.79998168889431442"/>
      </patternFill>
    </fill>
    <fill>
      <patternFill patternType="solid">
        <fgColor theme="9" tint="0.79998168889431442"/>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24">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3" borderId="0" xfId="0" applyFill="1" applyAlignment="1">
      <alignment horizontal="left" vertical="center" indent="5"/>
    </xf>
    <xf numFmtId="0" fontId="0" fillId="4" borderId="0" xfId="0" applyFill="1"/>
    <xf numFmtId="0" fontId="1" fillId="4" borderId="0" xfId="0" applyFont="1" applyFill="1" applyAlignment="1">
      <alignment horizontal="left" vertical="center" indent="5"/>
    </xf>
    <xf numFmtId="0" fontId="0" fillId="5" borderId="0" xfId="0" applyFill="1" applyAlignment="1">
      <alignment horizontal="left"/>
    </xf>
    <xf numFmtId="0" fontId="0" fillId="5" borderId="0" xfId="0" applyFill="1"/>
    <xf numFmtId="9" fontId="0" fillId="5" borderId="0" xfId="1" applyFont="1" applyFill="1" applyBorder="1"/>
    <xf numFmtId="2" fontId="0" fillId="5" borderId="0" xfId="0" applyNumberFormat="1" applyFill="1"/>
    <xf numFmtId="10" fontId="0" fillId="5" borderId="0" xfId="0" applyNumberFormat="1" applyFill="1"/>
    <xf numFmtId="0" fontId="0" fillId="0" borderId="0" xfId="0" applyAlignment="1">
      <alignment horizontal="left" indent="1"/>
    </xf>
    <xf numFmtId="0" fontId="0" fillId="6" borderId="0" xfId="0" applyFill="1"/>
    <xf numFmtId="0" fontId="3" fillId="7" borderId="1" xfId="0" applyFont="1" applyFill="1" applyBorder="1"/>
    <xf numFmtId="0" fontId="3" fillId="8" borderId="2" xfId="0" applyFont="1" applyFill="1" applyBorder="1"/>
    <xf numFmtId="0" fontId="0" fillId="5" borderId="2" xfId="0" applyFill="1" applyBorder="1" applyAlignment="1">
      <alignment horizontal="left"/>
    </xf>
    <xf numFmtId="0" fontId="0" fillId="5" borderId="2" xfId="0" applyFill="1" applyBorder="1"/>
    <xf numFmtId="0" fontId="0" fillId="9" borderId="0" xfId="0" applyFill="1"/>
    <xf numFmtId="0" fontId="0" fillId="9" borderId="0" xfId="0" applyFill="1" applyAlignment="1">
      <alignment horizontal="left"/>
    </xf>
    <xf numFmtId="0" fontId="0" fillId="0" borderId="0" xfId="0" applyNumberFormat="1"/>
    <xf numFmtId="0" fontId="0" fillId="9" borderId="0" xfId="0" applyNumberFormat="1" applyFill="1"/>
  </cellXfs>
  <cellStyles count="2">
    <cellStyle name="Normal" xfId="0" builtinId="0"/>
    <cellStyle name="Percent" xfId="1" builtinId="5"/>
  </cellStyles>
  <dxfs count="1180">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2" formatCode="0.00"/>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2" formatCode="0.00"/>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2" formatCode="0.00"/>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2" formatCode="0.00"/>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2" formatCode="0.00"/>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2" formatCode="0.00"/>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2" formatCode="0.00"/>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2" formatCode="0.00"/>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2" formatCode="0.00"/>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2" formatCode="0.00"/>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2" formatCode="0.00"/>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2" formatCode="0.00"/>
    </dxf>
    <dxf>
      <numFmt numFmtId="2" formatCode="0.00"/>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2" formatCode="0.00"/>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4" formatCode="0.00%"/>
    </dxf>
    <dxf>
      <numFmt numFmtId="2" formatCode="0.00"/>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2" formatCode="0.00"/>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b/>
        <color theme="1"/>
      </font>
      <border>
        <bottom style="thin">
          <color theme="5"/>
        </bottom>
        <vertical/>
        <horizontal/>
      </border>
    </dxf>
    <dxf>
      <font>
        <sz val="7"/>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9C43FA0D-6204-45A1-95E1-29E71A3D0A17}">
      <tableStyleElement type="wholeTable" dxfId="1179"/>
      <tableStyleElement type="headerRow" dxfId="117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25087726229514085"/>
          <c:w val="0.93888888888888888"/>
          <c:h val="0.74912273770485915"/>
        </c:manualLayout>
      </c:layout>
      <c:areaChart>
        <c:grouping val="standard"/>
        <c:varyColors val="0"/>
        <c:ser>
          <c:idx val="0"/>
          <c:order val="0"/>
          <c:tx>
            <c:v>Series1</c:v>
          </c:tx>
          <c:spPr>
            <a:solidFill>
              <a:schemeClr val="accent1"/>
            </a:solidFill>
            <a:ln>
              <a:noFill/>
            </a:ln>
            <a:effectLst/>
          </c:spPr>
          <c:cat>
            <c:strLit>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Lit>
          </c:cat>
          <c:val>
            <c:numLit>
              <c:formatCode>General</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Lit>
          </c:val>
          <c:extLst>
            <c:ext xmlns:c16="http://schemas.microsoft.com/office/drawing/2014/chart" uri="{C3380CC4-5D6E-409C-BE32-E72D297353CC}">
              <c16:uniqueId val="{00000000-9F31-422D-B924-81103E1592CC}"/>
            </c:ext>
          </c:extLst>
        </c:ser>
        <c:dLbls>
          <c:showLegendKey val="0"/>
          <c:showVal val="0"/>
          <c:showCatName val="0"/>
          <c:showSerName val="0"/>
          <c:showPercent val="0"/>
          <c:showBubbleSize val="0"/>
        </c:dLbls>
        <c:axId val="327404735"/>
        <c:axId val="327401855"/>
      </c:areaChart>
      <c:catAx>
        <c:axId val="327404735"/>
        <c:scaling>
          <c:orientation val="minMax"/>
        </c:scaling>
        <c:delete val="1"/>
        <c:axPos val="b"/>
        <c:numFmt formatCode="General" sourceLinked="1"/>
        <c:majorTickMark val="out"/>
        <c:minorTickMark val="none"/>
        <c:tickLblPos val="nextTo"/>
        <c:crossAx val="327401855"/>
        <c:crosses val="autoZero"/>
        <c:auto val="1"/>
        <c:lblAlgn val="ctr"/>
        <c:lblOffset val="100"/>
        <c:noMultiLvlLbl val="0"/>
      </c:catAx>
      <c:valAx>
        <c:axId val="32740185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274047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89475094601018E-2"/>
          <c:y val="9.9515701106472024E-2"/>
          <c:w val="0.93888888888888888"/>
          <c:h val="0.89814814814814814"/>
        </c:manualLayout>
      </c:layout>
      <c:areaChart>
        <c:grouping val="standard"/>
        <c:varyColors val="0"/>
        <c:ser>
          <c:idx val="0"/>
          <c:order val="0"/>
          <c:tx>
            <c:v>Series1</c:v>
          </c:tx>
          <c:spPr>
            <a:solidFill>
              <a:schemeClr val="accent1"/>
            </a:solidFill>
            <a:ln>
              <a:noFill/>
            </a:ln>
            <a:effectLst/>
          </c:spPr>
          <c:cat>
            <c:strLit>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Lit>
          </c:cat>
          <c:val>
            <c:numLit>
              <c:formatCode>General</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Lit>
          </c:val>
          <c:extLst>
            <c:ext xmlns:c16="http://schemas.microsoft.com/office/drawing/2014/chart" uri="{C3380CC4-5D6E-409C-BE32-E72D297353CC}">
              <c16:uniqueId val="{00000000-73F8-4398-88BD-2BD4B31C0C33}"/>
            </c:ext>
          </c:extLst>
        </c:ser>
        <c:dLbls>
          <c:showLegendKey val="0"/>
          <c:showVal val="0"/>
          <c:showCatName val="0"/>
          <c:showSerName val="0"/>
          <c:showPercent val="0"/>
          <c:showBubbleSize val="0"/>
        </c:dLbls>
        <c:axId val="873794112"/>
        <c:axId val="873786432"/>
      </c:areaChart>
      <c:catAx>
        <c:axId val="873794112"/>
        <c:scaling>
          <c:orientation val="minMax"/>
        </c:scaling>
        <c:delete val="1"/>
        <c:axPos val="b"/>
        <c:numFmt formatCode="General" sourceLinked="1"/>
        <c:majorTickMark val="out"/>
        <c:minorTickMark val="none"/>
        <c:tickLblPos val="nextTo"/>
        <c:crossAx val="873786432"/>
        <c:crosses val="autoZero"/>
        <c:auto val="1"/>
        <c:lblAlgn val="ctr"/>
        <c:lblOffset val="100"/>
        <c:noMultiLvlLbl val="0"/>
      </c:catAx>
      <c:valAx>
        <c:axId val="873786432"/>
        <c:scaling>
          <c:orientation val="minMax"/>
        </c:scaling>
        <c:delete val="1"/>
        <c:axPos val="l"/>
        <c:numFmt formatCode="General" sourceLinked="1"/>
        <c:majorTickMark val="none"/>
        <c:minorTickMark val="none"/>
        <c:tickLblPos val="nextTo"/>
        <c:crossAx val="8737941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[Satish_Dhawl _Excel_Project.xlsx]Pivot Report!PivotTable2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44204663817185E-2"/>
          <c:y val="8.333328596689768E-2"/>
          <c:w val="0.93888888888888888"/>
          <c:h val="0.91666666666666663"/>
        </c:manualLayout>
      </c:layout>
      <c:barChart>
        <c:barDir val="bar"/>
        <c:grouping val="clustered"/>
        <c:varyColors val="0"/>
        <c:ser>
          <c:idx val="0"/>
          <c:order val="0"/>
          <c:tx>
            <c:strRef>
              <c:f>'Pivot Report'!$G$6</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Report'!$F$7:$F$9</c:f>
              <c:strCache>
                <c:ptCount val="2"/>
                <c:pt idx="0">
                  <c:v>Admitted</c:v>
                </c:pt>
                <c:pt idx="1">
                  <c:v>Not Admitted</c:v>
                </c:pt>
              </c:strCache>
            </c:strRef>
          </c:cat>
          <c:val>
            <c:numRef>
              <c:f>'Pivot Report'!$G$7:$G$9</c:f>
              <c:numCache>
                <c:formatCode>0.00</c:formatCode>
                <c:ptCount val="2"/>
                <c:pt idx="0">
                  <c:v>234</c:v>
                </c:pt>
                <c:pt idx="1">
                  <c:v>260</c:v>
                </c:pt>
              </c:numCache>
            </c:numRef>
          </c:val>
          <c:extLst>
            <c:ext xmlns:c16="http://schemas.microsoft.com/office/drawing/2014/chart" uri="{C3380CC4-5D6E-409C-BE32-E72D297353CC}">
              <c16:uniqueId val="{00000000-3333-4E1A-BD01-8A19DF982F4D}"/>
            </c:ext>
          </c:extLst>
        </c:ser>
        <c:ser>
          <c:idx val="1"/>
          <c:order val="1"/>
          <c:tx>
            <c:strRef>
              <c:f>'Pivot Report'!$H$6</c:f>
              <c:strCache>
                <c:ptCount val="1"/>
                <c:pt idx="0">
                  <c:v>Count of Patient Admission Flag2</c:v>
                </c:pt>
              </c:strCache>
            </c:strRef>
          </c:tx>
          <c:spPr>
            <a:noFill/>
            <a:ln>
              <a:noFill/>
            </a:ln>
            <a:effectLst/>
          </c:spPr>
          <c:invertIfNegative val="0"/>
          <c:cat>
            <c:strRef>
              <c:f>'Pivot Report'!$F$7:$F$9</c:f>
              <c:strCache>
                <c:ptCount val="2"/>
                <c:pt idx="0">
                  <c:v>Admitted</c:v>
                </c:pt>
                <c:pt idx="1">
                  <c:v>Not Admitted</c:v>
                </c:pt>
              </c:strCache>
            </c:strRef>
          </c:cat>
          <c:val>
            <c:numRef>
              <c:f>'Pivot Report'!$H$7:$H$9</c:f>
              <c:numCache>
                <c:formatCode>0.00%</c:formatCode>
                <c:ptCount val="2"/>
                <c:pt idx="0">
                  <c:v>0.47368421052631576</c:v>
                </c:pt>
                <c:pt idx="1">
                  <c:v>0.52631578947368418</c:v>
                </c:pt>
              </c:numCache>
            </c:numRef>
          </c:val>
          <c:extLst>
            <c:ext xmlns:c16="http://schemas.microsoft.com/office/drawing/2014/chart" uri="{C3380CC4-5D6E-409C-BE32-E72D297353CC}">
              <c16:uniqueId val="{00000001-3333-4E1A-BD01-8A19DF982F4D}"/>
            </c:ext>
          </c:extLst>
        </c:ser>
        <c:dLbls>
          <c:showLegendKey val="0"/>
          <c:showVal val="0"/>
          <c:showCatName val="0"/>
          <c:showSerName val="0"/>
          <c:showPercent val="0"/>
          <c:showBubbleSize val="0"/>
        </c:dLbls>
        <c:gapWidth val="109"/>
        <c:axId val="552341471"/>
        <c:axId val="552347231"/>
      </c:barChart>
      <c:catAx>
        <c:axId val="552341471"/>
        <c:scaling>
          <c:orientation val="minMax"/>
        </c:scaling>
        <c:delete val="1"/>
        <c:axPos val="l"/>
        <c:numFmt formatCode="General" sourceLinked="1"/>
        <c:majorTickMark val="none"/>
        <c:minorTickMark val="none"/>
        <c:tickLblPos val="nextTo"/>
        <c:crossAx val="552347231"/>
        <c:crosses val="autoZero"/>
        <c:auto val="1"/>
        <c:lblAlgn val="ctr"/>
        <c:lblOffset val="100"/>
        <c:noMultiLvlLbl val="0"/>
      </c:catAx>
      <c:valAx>
        <c:axId val="552347231"/>
        <c:scaling>
          <c:orientation val="minMax"/>
        </c:scaling>
        <c:delete val="1"/>
        <c:axPos val="b"/>
        <c:numFmt formatCode="0.00" sourceLinked="1"/>
        <c:majorTickMark val="none"/>
        <c:minorTickMark val="none"/>
        <c:tickLblPos val="nextTo"/>
        <c:crossAx val="55234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[Satish_Dhawl _Excel_Project.xlsx]Pivot Report!PivotTable6</c:name>
    <c:fmtId val="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Report'!$B$11</c:f>
              <c:strCache>
                <c:ptCount val="1"/>
                <c:pt idx="0">
                  <c:v>Total</c:v>
                </c:pt>
              </c:strCache>
            </c:strRef>
          </c:tx>
          <c:spPr>
            <a:solidFill>
              <a:schemeClr val="accent1"/>
            </a:solidFill>
            <a:ln w="25400">
              <a:noFill/>
            </a:ln>
            <a:effectLst/>
          </c:spPr>
          <c:cat>
            <c:multiLvlStrRef>
              <c:f>'Pivot Report'!$A$12:$A$44</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multiLvlStrCache>
            </c:multiLvlStrRef>
          </c:cat>
          <c:val>
            <c:numRef>
              <c:f>'Pivot Report'!$B$12:$B$44</c:f>
              <c:numCache>
                <c:formatCode>0.00</c:formatCode>
                <c:ptCount val="31"/>
                <c:pt idx="0">
                  <c:v>8</c:v>
                </c:pt>
                <c:pt idx="1">
                  <c:v>4</c:v>
                </c:pt>
                <c:pt idx="2">
                  <c:v>5.333333333333333</c:v>
                </c:pt>
                <c:pt idx="3">
                  <c:v>4.666666666666667</c:v>
                </c:pt>
                <c:pt idx="4">
                  <c:v>6.2</c:v>
                </c:pt>
                <c:pt idx="5">
                  <c:v>6.333333333333333</c:v>
                </c:pt>
                <c:pt idx="6">
                  <c:v>9.5</c:v>
                </c:pt>
                <c:pt idx="7">
                  <c:v>2</c:v>
                </c:pt>
                <c:pt idx="8">
                  <c:v>6.666666666666667</c:v>
                </c:pt>
                <c:pt idx="9">
                  <c:v>2.25</c:v>
                </c:pt>
                <c:pt idx="10">
                  <c:v>3</c:v>
                </c:pt>
                <c:pt idx="11">
                  <c:v>4.7142857142857144</c:v>
                </c:pt>
                <c:pt idx="12">
                  <c:v>10</c:v>
                </c:pt>
                <c:pt idx="13">
                  <c:v>5.666666666666667</c:v>
                </c:pt>
                <c:pt idx="14">
                  <c:v>5</c:v>
                </c:pt>
                <c:pt idx="15">
                  <c:v>3</c:v>
                </c:pt>
                <c:pt idx="16">
                  <c:v>5.333333333333333</c:v>
                </c:pt>
                <c:pt idx="17">
                  <c:v>5.833333333333333</c:v>
                </c:pt>
                <c:pt idx="18">
                  <c:v>5.8</c:v>
                </c:pt>
                <c:pt idx="19">
                  <c:v>5.2</c:v>
                </c:pt>
                <c:pt idx="20">
                  <c:v>4.5</c:v>
                </c:pt>
                <c:pt idx="21">
                  <c:v>6</c:v>
                </c:pt>
                <c:pt idx="22">
                  <c:v>6.5</c:v>
                </c:pt>
                <c:pt idx="23">
                  <c:v>4.166666666666667</c:v>
                </c:pt>
                <c:pt idx="24">
                  <c:v>3.6666666666666665</c:v>
                </c:pt>
                <c:pt idx="25">
                  <c:v>3.5</c:v>
                </c:pt>
                <c:pt idx="26">
                  <c:v>6</c:v>
                </c:pt>
                <c:pt idx="27">
                  <c:v>5.1428571428571432</c:v>
                </c:pt>
                <c:pt idx="28">
                  <c:v>4</c:v>
                </c:pt>
                <c:pt idx="29">
                  <c:v>3.5</c:v>
                </c:pt>
                <c:pt idx="30">
                  <c:v>5</c:v>
                </c:pt>
              </c:numCache>
            </c:numRef>
          </c:val>
          <c:extLst>
            <c:ext xmlns:c16="http://schemas.microsoft.com/office/drawing/2014/chart" uri="{C3380CC4-5D6E-409C-BE32-E72D297353CC}">
              <c16:uniqueId val="{00000000-9BAF-4912-9DFF-09AA8AA39139}"/>
            </c:ext>
          </c:extLst>
        </c:ser>
        <c:dLbls>
          <c:showLegendKey val="0"/>
          <c:showVal val="0"/>
          <c:showCatName val="0"/>
          <c:showSerName val="0"/>
          <c:showPercent val="0"/>
          <c:showBubbleSize val="0"/>
        </c:dLbls>
        <c:axId val="2066367600"/>
        <c:axId val="2066367120"/>
      </c:areaChart>
      <c:catAx>
        <c:axId val="2066367600"/>
        <c:scaling>
          <c:orientation val="minMax"/>
        </c:scaling>
        <c:delete val="1"/>
        <c:axPos val="b"/>
        <c:numFmt formatCode="General" sourceLinked="1"/>
        <c:majorTickMark val="out"/>
        <c:minorTickMark val="none"/>
        <c:tickLblPos val="nextTo"/>
        <c:crossAx val="2066367120"/>
        <c:crosses val="autoZero"/>
        <c:auto val="1"/>
        <c:lblAlgn val="ctr"/>
        <c:lblOffset val="100"/>
        <c:noMultiLvlLbl val="0"/>
      </c:catAx>
      <c:valAx>
        <c:axId val="2066367120"/>
        <c:scaling>
          <c:orientation val="minMax"/>
        </c:scaling>
        <c:delete val="1"/>
        <c:axPos val="l"/>
        <c:numFmt formatCode="0.00" sourceLinked="1"/>
        <c:majorTickMark val="none"/>
        <c:minorTickMark val="none"/>
        <c:tickLblPos val="nextTo"/>
        <c:crossAx val="20663676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[Satish_Dhawl _Excel_Project.xlsx]Pivot Report!PivotTable6</c:name>
    <c:fmtId val="4"/>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Report'!$B$11</c:f>
              <c:strCache>
                <c:ptCount val="1"/>
                <c:pt idx="0">
                  <c:v>Total</c:v>
                </c:pt>
              </c:strCache>
            </c:strRef>
          </c:tx>
          <c:spPr>
            <a:solidFill>
              <a:schemeClr val="accent1"/>
            </a:solidFill>
            <a:ln w="25400">
              <a:noFill/>
            </a:ln>
            <a:effectLst/>
          </c:spPr>
          <c:cat>
            <c:multiLvlStrRef>
              <c:f>'Pivot Report'!$A$12:$A$44</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multiLvlStrCache>
            </c:multiLvlStrRef>
          </c:cat>
          <c:val>
            <c:numRef>
              <c:f>'Pivot Report'!$B$12:$B$44</c:f>
              <c:numCache>
                <c:formatCode>0.00</c:formatCode>
                <c:ptCount val="31"/>
                <c:pt idx="0">
                  <c:v>8</c:v>
                </c:pt>
                <c:pt idx="1">
                  <c:v>4</c:v>
                </c:pt>
                <c:pt idx="2">
                  <c:v>5.333333333333333</c:v>
                </c:pt>
                <c:pt idx="3">
                  <c:v>4.666666666666667</c:v>
                </c:pt>
                <c:pt idx="4">
                  <c:v>6.2</c:v>
                </c:pt>
                <c:pt idx="5">
                  <c:v>6.333333333333333</c:v>
                </c:pt>
                <c:pt idx="6">
                  <c:v>9.5</c:v>
                </c:pt>
                <c:pt idx="7">
                  <c:v>2</c:v>
                </c:pt>
                <c:pt idx="8">
                  <c:v>6.666666666666667</c:v>
                </c:pt>
                <c:pt idx="9">
                  <c:v>2.25</c:v>
                </c:pt>
                <c:pt idx="10">
                  <c:v>3</c:v>
                </c:pt>
                <c:pt idx="11">
                  <c:v>4.7142857142857144</c:v>
                </c:pt>
                <c:pt idx="12">
                  <c:v>10</c:v>
                </c:pt>
                <c:pt idx="13">
                  <c:v>5.666666666666667</c:v>
                </c:pt>
                <c:pt idx="14">
                  <c:v>5</c:v>
                </c:pt>
                <c:pt idx="15">
                  <c:v>3</c:v>
                </c:pt>
                <c:pt idx="16">
                  <c:v>5.333333333333333</c:v>
                </c:pt>
                <c:pt idx="17">
                  <c:v>5.833333333333333</c:v>
                </c:pt>
                <c:pt idx="18">
                  <c:v>5.8</c:v>
                </c:pt>
                <c:pt idx="19">
                  <c:v>5.2</c:v>
                </c:pt>
                <c:pt idx="20">
                  <c:v>4.5</c:v>
                </c:pt>
                <c:pt idx="21">
                  <c:v>6</c:v>
                </c:pt>
                <c:pt idx="22">
                  <c:v>6.5</c:v>
                </c:pt>
                <c:pt idx="23">
                  <c:v>4.166666666666667</c:v>
                </c:pt>
                <c:pt idx="24">
                  <c:v>3.6666666666666665</c:v>
                </c:pt>
                <c:pt idx="25">
                  <c:v>3.5</c:v>
                </c:pt>
                <c:pt idx="26">
                  <c:v>6</c:v>
                </c:pt>
                <c:pt idx="27">
                  <c:v>5.1428571428571432</c:v>
                </c:pt>
                <c:pt idx="28">
                  <c:v>4</c:v>
                </c:pt>
                <c:pt idx="29">
                  <c:v>3.5</c:v>
                </c:pt>
                <c:pt idx="30">
                  <c:v>5</c:v>
                </c:pt>
              </c:numCache>
            </c:numRef>
          </c:val>
          <c:extLst>
            <c:ext xmlns:c16="http://schemas.microsoft.com/office/drawing/2014/chart" uri="{C3380CC4-5D6E-409C-BE32-E72D297353CC}">
              <c16:uniqueId val="{00000000-57B5-4F11-80B7-4C60A008F31B}"/>
            </c:ext>
          </c:extLst>
        </c:ser>
        <c:dLbls>
          <c:showLegendKey val="0"/>
          <c:showVal val="0"/>
          <c:showCatName val="0"/>
          <c:showSerName val="0"/>
          <c:showPercent val="0"/>
          <c:showBubbleSize val="0"/>
        </c:dLbls>
        <c:axId val="1829412768"/>
        <c:axId val="1829430048"/>
      </c:areaChart>
      <c:catAx>
        <c:axId val="1829412768"/>
        <c:scaling>
          <c:orientation val="minMax"/>
        </c:scaling>
        <c:delete val="1"/>
        <c:axPos val="b"/>
        <c:numFmt formatCode="General" sourceLinked="1"/>
        <c:majorTickMark val="out"/>
        <c:minorTickMark val="none"/>
        <c:tickLblPos val="nextTo"/>
        <c:crossAx val="1829430048"/>
        <c:crosses val="autoZero"/>
        <c:auto val="1"/>
        <c:lblAlgn val="ctr"/>
        <c:lblOffset val="100"/>
        <c:noMultiLvlLbl val="0"/>
      </c:catAx>
      <c:valAx>
        <c:axId val="1829430048"/>
        <c:scaling>
          <c:orientation val="minMax"/>
        </c:scaling>
        <c:delete val="1"/>
        <c:axPos val="l"/>
        <c:numFmt formatCode="0.00" sourceLinked="1"/>
        <c:majorTickMark val="none"/>
        <c:minorTickMark val="none"/>
        <c:tickLblPos val="nextTo"/>
        <c:crossAx val="18294127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[Satish_Dhawl _Excel_Project.xlsx]Pivot Report!PivotTable3</c:name>
    <c:fmtId val="1"/>
  </c:pivotSource>
  <c:chart>
    <c:autoTitleDeleted val="1"/>
    <c:pivotFmts>
      <c:pivotFmt>
        <c:idx val="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9063096897779566E-2"/>
          <c:y val="4.6664922207710867E-2"/>
          <c:w val="0.93888888888888888"/>
          <c:h val="0.92299431321084868"/>
        </c:manualLayout>
      </c:layout>
      <c:bar3DChart>
        <c:barDir val="col"/>
        <c:grouping val="standard"/>
        <c:varyColors val="0"/>
        <c:ser>
          <c:idx val="0"/>
          <c:order val="0"/>
          <c:tx>
            <c:strRef>
              <c:f>'Pivot Report'!$M$6</c:f>
              <c:strCache>
                <c:ptCount val="1"/>
                <c:pt idx="0">
                  <c:v>Total</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Report'!$L$7:$L$15</c:f>
              <c:strCache>
                <c:ptCount val="8"/>
                <c:pt idx="0">
                  <c:v>0-09</c:v>
                </c:pt>
                <c:pt idx="1">
                  <c:v>10-19</c:v>
                </c:pt>
                <c:pt idx="2">
                  <c:v>20-29</c:v>
                </c:pt>
                <c:pt idx="3">
                  <c:v>30-39</c:v>
                </c:pt>
                <c:pt idx="4">
                  <c:v>40-49</c:v>
                </c:pt>
                <c:pt idx="5">
                  <c:v>50-59</c:v>
                </c:pt>
                <c:pt idx="6">
                  <c:v>60-69</c:v>
                </c:pt>
                <c:pt idx="7">
                  <c:v>70-79</c:v>
                </c:pt>
              </c:strCache>
            </c:strRef>
          </c:cat>
          <c:val>
            <c:numRef>
              <c:f>'Pivot Report'!$M$7:$M$15</c:f>
              <c:numCache>
                <c:formatCode>General</c:formatCode>
                <c:ptCount val="8"/>
                <c:pt idx="0">
                  <c:v>70</c:v>
                </c:pt>
                <c:pt idx="1">
                  <c:v>73</c:v>
                </c:pt>
                <c:pt idx="2">
                  <c:v>58</c:v>
                </c:pt>
                <c:pt idx="3">
                  <c:v>73</c:v>
                </c:pt>
                <c:pt idx="4">
                  <c:v>55</c:v>
                </c:pt>
                <c:pt idx="5">
                  <c:v>51</c:v>
                </c:pt>
                <c:pt idx="6">
                  <c:v>67</c:v>
                </c:pt>
                <c:pt idx="7">
                  <c:v>47</c:v>
                </c:pt>
              </c:numCache>
            </c:numRef>
          </c:val>
          <c:extLst>
            <c:ext xmlns:c16="http://schemas.microsoft.com/office/drawing/2014/chart" uri="{C3380CC4-5D6E-409C-BE32-E72D297353CC}">
              <c16:uniqueId val="{00000000-2655-4E36-9279-922D6357C8EE}"/>
            </c:ext>
          </c:extLst>
        </c:ser>
        <c:dLbls>
          <c:showLegendKey val="0"/>
          <c:showVal val="1"/>
          <c:showCatName val="0"/>
          <c:showSerName val="0"/>
          <c:showPercent val="0"/>
          <c:showBubbleSize val="0"/>
        </c:dLbls>
        <c:gapWidth val="150"/>
        <c:shape val="box"/>
        <c:axId val="2061001183"/>
        <c:axId val="2060999743"/>
        <c:axId val="2111241439"/>
      </c:bar3DChart>
      <c:catAx>
        <c:axId val="2061001183"/>
        <c:scaling>
          <c:orientation val="minMax"/>
        </c:scaling>
        <c:delete val="1"/>
        <c:axPos val="b"/>
        <c:numFmt formatCode="General" sourceLinked="1"/>
        <c:majorTickMark val="none"/>
        <c:minorTickMark val="none"/>
        <c:tickLblPos val="nextTo"/>
        <c:crossAx val="2060999743"/>
        <c:crosses val="autoZero"/>
        <c:auto val="1"/>
        <c:lblAlgn val="ctr"/>
        <c:lblOffset val="100"/>
        <c:noMultiLvlLbl val="0"/>
      </c:catAx>
      <c:valAx>
        <c:axId val="206099974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61001183"/>
        <c:crosses val="autoZero"/>
        <c:crossBetween val="between"/>
      </c:valAx>
      <c:serAx>
        <c:axId val="211124143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60999743"/>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[Satish_Dhawl _Excel_Project.xlsx]Pivot Report!PivotTable3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Report'!$M$6</c:f>
              <c:strCache>
                <c:ptCount val="1"/>
                <c:pt idx="0">
                  <c:v>Total</c:v>
                </c:pt>
              </c:strCache>
            </c:strRef>
          </c:tx>
          <c:spPr>
            <a:solidFill>
              <a:schemeClr val="accent1"/>
            </a:solidFill>
            <a:ln>
              <a:noFill/>
            </a:ln>
            <a:effectLst/>
          </c:spPr>
          <c:invertIfNegative val="0"/>
          <c:cat>
            <c:strRef>
              <c:f>'Pivot Report'!$L$7:$L$15</c:f>
              <c:strCache>
                <c:ptCount val="8"/>
                <c:pt idx="0">
                  <c:v>0-09</c:v>
                </c:pt>
                <c:pt idx="1">
                  <c:v>10-19</c:v>
                </c:pt>
                <c:pt idx="2">
                  <c:v>20-29</c:v>
                </c:pt>
                <c:pt idx="3">
                  <c:v>30-39</c:v>
                </c:pt>
                <c:pt idx="4">
                  <c:v>40-49</c:v>
                </c:pt>
                <c:pt idx="5">
                  <c:v>50-59</c:v>
                </c:pt>
                <c:pt idx="6">
                  <c:v>60-69</c:v>
                </c:pt>
                <c:pt idx="7">
                  <c:v>70-79</c:v>
                </c:pt>
              </c:strCache>
            </c:strRef>
          </c:cat>
          <c:val>
            <c:numRef>
              <c:f>'Pivot Report'!$M$7:$M$15</c:f>
              <c:numCache>
                <c:formatCode>General</c:formatCode>
                <c:ptCount val="8"/>
                <c:pt idx="0">
                  <c:v>70</c:v>
                </c:pt>
                <c:pt idx="1">
                  <c:v>73</c:v>
                </c:pt>
                <c:pt idx="2">
                  <c:v>58</c:v>
                </c:pt>
                <c:pt idx="3">
                  <c:v>73</c:v>
                </c:pt>
                <c:pt idx="4">
                  <c:v>55</c:v>
                </c:pt>
                <c:pt idx="5">
                  <c:v>51</c:v>
                </c:pt>
                <c:pt idx="6">
                  <c:v>67</c:v>
                </c:pt>
                <c:pt idx="7">
                  <c:v>47</c:v>
                </c:pt>
              </c:numCache>
            </c:numRef>
          </c:val>
          <c:extLst>
            <c:ext xmlns:c16="http://schemas.microsoft.com/office/drawing/2014/chart" uri="{C3380CC4-5D6E-409C-BE32-E72D297353CC}">
              <c16:uniqueId val="{00000000-86B7-400F-8AFD-D62A4B1DB6BD}"/>
            </c:ext>
          </c:extLst>
        </c:ser>
        <c:dLbls>
          <c:showLegendKey val="0"/>
          <c:showVal val="0"/>
          <c:showCatName val="0"/>
          <c:showSerName val="0"/>
          <c:showPercent val="0"/>
          <c:showBubbleSize val="0"/>
        </c:dLbls>
        <c:gapWidth val="219"/>
        <c:overlap val="-27"/>
        <c:axId val="1873279151"/>
        <c:axId val="1873274831"/>
      </c:barChart>
      <c:catAx>
        <c:axId val="187327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274831"/>
        <c:crosses val="autoZero"/>
        <c:auto val="1"/>
        <c:lblAlgn val="ctr"/>
        <c:lblOffset val="100"/>
        <c:noMultiLvlLbl val="0"/>
      </c:catAx>
      <c:valAx>
        <c:axId val="1873274831"/>
        <c:scaling>
          <c:orientation val="minMax"/>
        </c:scaling>
        <c:delete val="1"/>
        <c:axPos val="l"/>
        <c:numFmt formatCode="General" sourceLinked="1"/>
        <c:majorTickMark val="none"/>
        <c:minorTickMark val="none"/>
        <c:tickLblPos val="nextTo"/>
        <c:crossAx val="187327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[Satish_Dhawl _Excel_Project.xlsx]Pivot Report!PivotTable7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949913530027874E-2"/>
          <c:y val="0.19382656746351756"/>
          <c:w val="0.97514814724600973"/>
          <c:h val="0.79303380714290739"/>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Report'!$E$5:$E$36</c:f>
              <c:numCache>
                <c:formatCode>General</c:formatCode>
                <c:ptCount val="31"/>
                <c:pt idx="0">
                  <c:v>14</c:v>
                </c:pt>
                <c:pt idx="1">
                  <c:v>15</c:v>
                </c:pt>
                <c:pt idx="2">
                  <c:v>17</c:v>
                </c:pt>
                <c:pt idx="3">
                  <c:v>12</c:v>
                </c:pt>
                <c:pt idx="4">
                  <c:v>23</c:v>
                </c:pt>
                <c:pt idx="5">
                  <c:v>10</c:v>
                </c:pt>
                <c:pt idx="6">
                  <c:v>18</c:v>
                </c:pt>
                <c:pt idx="7">
                  <c:v>11</c:v>
                </c:pt>
                <c:pt idx="8">
                  <c:v>12</c:v>
                </c:pt>
                <c:pt idx="9">
                  <c:v>24</c:v>
                </c:pt>
                <c:pt idx="10">
                  <c:v>16</c:v>
                </c:pt>
                <c:pt idx="11">
                  <c:v>21</c:v>
                </c:pt>
                <c:pt idx="12">
                  <c:v>16</c:v>
                </c:pt>
                <c:pt idx="13">
                  <c:v>15</c:v>
                </c:pt>
                <c:pt idx="14">
                  <c:v>14</c:v>
                </c:pt>
                <c:pt idx="15">
                  <c:v>18</c:v>
                </c:pt>
                <c:pt idx="16">
                  <c:v>12</c:v>
                </c:pt>
                <c:pt idx="17">
                  <c:v>18</c:v>
                </c:pt>
                <c:pt idx="18">
                  <c:v>16</c:v>
                </c:pt>
                <c:pt idx="19">
                  <c:v>22</c:v>
                </c:pt>
                <c:pt idx="20">
                  <c:v>16</c:v>
                </c:pt>
                <c:pt idx="21">
                  <c:v>10</c:v>
                </c:pt>
                <c:pt idx="22">
                  <c:v>18</c:v>
                </c:pt>
                <c:pt idx="23">
                  <c:v>13</c:v>
                </c:pt>
                <c:pt idx="24">
                  <c:v>20</c:v>
                </c:pt>
                <c:pt idx="25">
                  <c:v>17</c:v>
                </c:pt>
                <c:pt idx="26">
                  <c:v>19</c:v>
                </c:pt>
                <c:pt idx="27">
                  <c:v>17</c:v>
                </c:pt>
                <c:pt idx="28">
                  <c:v>22</c:v>
                </c:pt>
                <c:pt idx="29">
                  <c:v>9</c:v>
                </c:pt>
                <c:pt idx="30">
                  <c:v>9</c:v>
                </c:pt>
              </c:numCache>
            </c:numRef>
          </c:val>
          <c:extLst>
            <c:ext xmlns:c16="http://schemas.microsoft.com/office/drawing/2014/chart" uri="{C3380CC4-5D6E-409C-BE32-E72D297353CC}">
              <c16:uniqueId val="{00000000-C960-452B-8290-06BCFE22CD4D}"/>
            </c:ext>
          </c:extLst>
        </c:ser>
        <c:dLbls>
          <c:showLegendKey val="0"/>
          <c:showVal val="0"/>
          <c:showCatName val="0"/>
          <c:showSerName val="0"/>
          <c:showPercent val="0"/>
          <c:showBubbleSize val="0"/>
        </c:dLbls>
        <c:axId val="1149437952"/>
        <c:axId val="1149438432"/>
      </c:areaChart>
      <c:catAx>
        <c:axId val="1149437952"/>
        <c:scaling>
          <c:orientation val="minMax"/>
        </c:scaling>
        <c:delete val="1"/>
        <c:axPos val="b"/>
        <c:numFmt formatCode="General" sourceLinked="1"/>
        <c:majorTickMark val="out"/>
        <c:minorTickMark val="none"/>
        <c:tickLblPos val="nextTo"/>
        <c:crossAx val="1149438432"/>
        <c:crosses val="autoZero"/>
        <c:auto val="1"/>
        <c:lblAlgn val="ctr"/>
        <c:lblOffset val="100"/>
        <c:noMultiLvlLbl val="0"/>
      </c:catAx>
      <c:valAx>
        <c:axId val="1149438432"/>
        <c:scaling>
          <c:orientation val="minMax"/>
        </c:scaling>
        <c:delete val="1"/>
        <c:axPos val="l"/>
        <c:numFmt formatCode="General" sourceLinked="1"/>
        <c:majorTickMark val="none"/>
        <c:minorTickMark val="none"/>
        <c:tickLblPos val="nextTo"/>
        <c:crossAx val="11494379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[Satish_Dhawl _Excel_Project.xlsx]Pivot Report!PivotTable6</c:name>
    <c:fmtId val="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lumMod val="75000"/>
            </a:schemeClr>
          </a:solidFill>
          <a:ln w="25400">
            <a:no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1.0934136891950065E-2"/>
          <c:y val="0"/>
          <c:w val="0.98906586310804989"/>
          <c:h val="1"/>
        </c:manualLayout>
      </c:layout>
      <c:areaChart>
        <c:grouping val="standard"/>
        <c:varyColors val="0"/>
        <c:ser>
          <c:idx val="0"/>
          <c:order val="0"/>
          <c:tx>
            <c:strRef>
              <c:f>'Pivot Report'!$B$11</c:f>
              <c:strCache>
                <c:ptCount val="1"/>
                <c:pt idx="0">
                  <c:v>Total</c:v>
                </c:pt>
              </c:strCache>
            </c:strRef>
          </c:tx>
          <c:spPr>
            <a:solidFill>
              <a:schemeClr val="accent1">
                <a:lumMod val="75000"/>
              </a:schemeClr>
            </a:solidFill>
            <a:ln w="25400">
              <a:noFill/>
            </a:ln>
          </c:spPr>
          <c:cat>
            <c:multiLvlStrRef>
              <c:f>'Pivot Report'!$A$12:$A$44</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multiLvlStrCache>
            </c:multiLvlStrRef>
          </c:cat>
          <c:val>
            <c:numRef>
              <c:f>'Pivot Report'!$B$12:$B$44</c:f>
              <c:numCache>
                <c:formatCode>0.00</c:formatCode>
                <c:ptCount val="31"/>
                <c:pt idx="0">
                  <c:v>8</c:v>
                </c:pt>
                <c:pt idx="1">
                  <c:v>4</c:v>
                </c:pt>
                <c:pt idx="2">
                  <c:v>5.333333333333333</c:v>
                </c:pt>
                <c:pt idx="3">
                  <c:v>4.666666666666667</c:v>
                </c:pt>
                <c:pt idx="4">
                  <c:v>6.2</c:v>
                </c:pt>
                <c:pt idx="5">
                  <c:v>6.333333333333333</c:v>
                </c:pt>
                <c:pt idx="6">
                  <c:v>9.5</c:v>
                </c:pt>
                <c:pt idx="7">
                  <c:v>2</c:v>
                </c:pt>
                <c:pt idx="8">
                  <c:v>6.666666666666667</c:v>
                </c:pt>
                <c:pt idx="9">
                  <c:v>2.25</c:v>
                </c:pt>
                <c:pt idx="10">
                  <c:v>3</c:v>
                </c:pt>
                <c:pt idx="11">
                  <c:v>4.7142857142857144</c:v>
                </c:pt>
                <c:pt idx="12">
                  <c:v>10</c:v>
                </c:pt>
                <c:pt idx="13">
                  <c:v>5.666666666666667</c:v>
                </c:pt>
                <c:pt idx="14">
                  <c:v>5</c:v>
                </c:pt>
                <c:pt idx="15">
                  <c:v>3</c:v>
                </c:pt>
                <c:pt idx="16">
                  <c:v>5.333333333333333</c:v>
                </c:pt>
                <c:pt idx="17">
                  <c:v>5.833333333333333</c:v>
                </c:pt>
                <c:pt idx="18">
                  <c:v>5.8</c:v>
                </c:pt>
                <c:pt idx="19">
                  <c:v>5.2</c:v>
                </c:pt>
                <c:pt idx="20">
                  <c:v>4.5</c:v>
                </c:pt>
                <c:pt idx="21">
                  <c:v>6</c:v>
                </c:pt>
                <c:pt idx="22">
                  <c:v>6.5</c:v>
                </c:pt>
                <c:pt idx="23">
                  <c:v>4.166666666666667</c:v>
                </c:pt>
                <c:pt idx="24">
                  <c:v>3.6666666666666665</c:v>
                </c:pt>
                <c:pt idx="25">
                  <c:v>3.5</c:v>
                </c:pt>
                <c:pt idx="26">
                  <c:v>6</c:v>
                </c:pt>
                <c:pt idx="27">
                  <c:v>5.1428571428571432</c:v>
                </c:pt>
                <c:pt idx="28">
                  <c:v>4</c:v>
                </c:pt>
                <c:pt idx="29">
                  <c:v>3.5</c:v>
                </c:pt>
                <c:pt idx="30">
                  <c:v>5</c:v>
                </c:pt>
              </c:numCache>
            </c:numRef>
          </c:val>
          <c:extLst>
            <c:ext xmlns:c16="http://schemas.microsoft.com/office/drawing/2014/chart" uri="{C3380CC4-5D6E-409C-BE32-E72D297353CC}">
              <c16:uniqueId val="{00000000-736F-4F4D-AC1A-70899CAE185D}"/>
            </c:ext>
          </c:extLst>
        </c:ser>
        <c:dLbls>
          <c:showLegendKey val="0"/>
          <c:showVal val="0"/>
          <c:showCatName val="0"/>
          <c:showSerName val="0"/>
          <c:showPercent val="0"/>
          <c:showBubbleSize val="0"/>
        </c:dLbls>
        <c:axId val="2066367600"/>
        <c:axId val="2066367120"/>
      </c:areaChart>
      <c:catAx>
        <c:axId val="2066367600"/>
        <c:scaling>
          <c:orientation val="minMax"/>
        </c:scaling>
        <c:delete val="1"/>
        <c:axPos val="b"/>
        <c:numFmt formatCode="General" sourceLinked="1"/>
        <c:majorTickMark val="out"/>
        <c:minorTickMark val="none"/>
        <c:tickLblPos val="nextTo"/>
        <c:crossAx val="2066367120"/>
        <c:crosses val="autoZero"/>
        <c:auto val="1"/>
        <c:lblAlgn val="ctr"/>
        <c:lblOffset val="100"/>
        <c:noMultiLvlLbl val="0"/>
      </c:catAx>
      <c:valAx>
        <c:axId val="2066367120"/>
        <c:scaling>
          <c:orientation val="minMax"/>
        </c:scaling>
        <c:delete val="1"/>
        <c:axPos val="l"/>
        <c:numFmt formatCode="0.00" sourceLinked="1"/>
        <c:majorTickMark val="none"/>
        <c:minorTickMark val="none"/>
        <c:tickLblPos val="nextTo"/>
        <c:crossAx val="2066367600"/>
        <c:crosses val="autoZero"/>
        <c:crossBetween val="midCat"/>
      </c:valAx>
      <c:spPr>
        <a:noFill/>
        <a:ln>
          <a:noFill/>
        </a:ln>
      </c:spPr>
    </c:plotArea>
    <c:plotVisOnly val="1"/>
    <c:dispBlanksAs val="zero"/>
    <c:showDLblsOverMax val="0"/>
    <c:extLst/>
  </c:chart>
  <c:spPr>
    <a:noFill/>
    <a:ln>
      <a:noFill/>
    </a:ln>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[Satish_Dhawl _Excel_Project.xlsx]Pivot Report!PivotTable2</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ln>
                    <a:solidFill>
                      <a:schemeClr val="accent1"/>
                    </a:solidFill>
                  </a:ln>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6.3951348943505029E-2"/>
              <c:y val="-8.8915444968452802E-7"/>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ln>
                    <a:solidFill>
                      <a:schemeClr val="accent1"/>
                    </a:solidFill>
                  </a:ln>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2917513992988982"/>
                  <c:h val="0.315845443616938"/>
                </c:manualLayout>
              </c15:layout>
              <c15:showDataLabelsRange val="1"/>
            </c:ext>
          </c:extLst>
        </c:dLbl>
      </c:pivotFmt>
      <c:pivotFmt>
        <c:idx val="7"/>
        <c:spPr>
          <a:solidFill>
            <a:schemeClr val="accent1"/>
          </a:solidFill>
          <a:ln>
            <a:noFill/>
          </a:ln>
          <a:effectLst/>
        </c:spPr>
        <c:dLbl>
          <c:idx val="0"/>
          <c:layout>
            <c:manualLayout>
              <c:x val="-1.5377762283810742E-2"/>
              <c:y val="-8.8915444978803915E-7"/>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ln>
                    <a:solidFill>
                      <a:schemeClr val="accent1"/>
                    </a:solidFill>
                  </a:ln>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4986307206631423"/>
                  <c:h val="0.315845443616938"/>
                </c:manualLayout>
              </c15:layout>
              <c15:showDataLabelsRange val="1"/>
            </c:ext>
          </c:extLst>
        </c:dLbl>
      </c:pivotFmt>
    </c:pivotFmts>
    <c:plotArea>
      <c:layout>
        <c:manualLayout>
          <c:layoutTarget val="inner"/>
          <c:xMode val="edge"/>
          <c:yMode val="edge"/>
          <c:x val="9.8386690682315571E-3"/>
          <c:y val="6.0498068756535284E-3"/>
          <c:w val="0.93888888888888888"/>
          <c:h val="0.91666666666666663"/>
        </c:manualLayout>
      </c:layout>
      <c:barChart>
        <c:barDir val="bar"/>
        <c:grouping val="clustered"/>
        <c:varyColors val="0"/>
        <c:ser>
          <c:idx val="0"/>
          <c:order val="0"/>
          <c:tx>
            <c:strRef>
              <c:f>'Pivot Report'!$G$6</c:f>
              <c:strCache>
                <c:ptCount val="1"/>
                <c:pt idx="0">
                  <c:v>Count of Patient Admission Flag</c:v>
                </c:pt>
              </c:strCache>
            </c:strRef>
          </c:tx>
          <c:spPr>
            <a:solidFill>
              <a:schemeClr val="accent1"/>
            </a:solidFill>
            <a:ln>
              <a:noFill/>
            </a:ln>
            <a:effectLst/>
          </c:spPr>
          <c:invertIfNegative val="0"/>
          <c:dPt>
            <c:idx val="0"/>
            <c:invertIfNegative val="0"/>
            <c:bubble3D val="0"/>
          </c:dPt>
          <c:dPt>
            <c:idx val="1"/>
            <c:invertIfNegative val="0"/>
            <c:bubble3D val="0"/>
          </c:dPt>
          <c:dLbls>
            <c:dLbl>
              <c:idx val="0"/>
              <c:layout>
                <c:manualLayout>
                  <c:x val="-1.5377762283810742E-2"/>
                  <c:y val="-8.8915444978803915E-7"/>
                </c:manualLayout>
              </c:layout>
              <c:showLegendKey val="0"/>
              <c:showVal val="0"/>
              <c:showCatName val="0"/>
              <c:showSerName val="0"/>
              <c:showPercent val="0"/>
              <c:showBubbleSize val="0"/>
              <c:extLst>
                <c:ext xmlns:c15="http://schemas.microsoft.com/office/drawing/2012/chart" uri="{CE6537A1-D6FC-4f65-9D91-7224C49458BB}">
                  <c15:layout>
                    <c:manualLayout>
                      <c:w val="0.34986307206631423"/>
                      <c:h val="0.315845443616938"/>
                    </c:manualLayout>
                  </c15:layout>
                  <c15:showDataLabelsRange val="1"/>
                </c:ext>
              </c:extLst>
            </c:dLbl>
            <c:dLbl>
              <c:idx val="1"/>
              <c:layout>
                <c:manualLayout>
                  <c:x val="6.3951348943505029E-2"/>
                  <c:y val="-8.8915444968452802E-7"/>
                </c:manualLayout>
              </c:layout>
              <c:showLegendKey val="0"/>
              <c:showVal val="0"/>
              <c:showCatName val="0"/>
              <c:showSerName val="0"/>
              <c:showPercent val="0"/>
              <c:showBubbleSize val="0"/>
              <c:extLst>
                <c:ext xmlns:c15="http://schemas.microsoft.com/office/drawing/2012/chart" uri="{CE6537A1-D6FC-4f65-9D91-7224C49458BB}">
                  <c15:layout>
                    <c:manualLayout>
                      <c:w val="0.42917513992988982"/>
                      <c:h val="0.315845443616938"/>
                    </c:manualLayout>
                  </c15:layout>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ln>
                      <a:solidFill>
                        <a:schemeClr val="accent1"/>
                      </a:solidFill>
                    </a:ln>
                    <a:no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Report'!$F$7:$F$9</c:f>
              <c:strCache>
                <c:ptCount val="2"/>
                <c:pt idx="0">
                  <c:v>Admitted</c:v>
                </c:pt>
                <c:pt idx="1">
                  <c:v>Not Admitted</c:v>
                </c:pt>
              </c:strCache>
            </c:strRef>
          </c:cat>
          <c:val>
            <c:numRef>
              <c:f>'Pivot Report'!$G$7:$G$9</c:f>
              <c:numCache>
                <c:formatCode>0.00</c:formatCode>
                <c:ptCount val="2"/>
                <c:pt idx="0">
                  <c:v>234</c:v>
                </c:pt>
                <c:pt idx="1">
                  <c:v>260</c:v>
                </c:pt>
              </c:numCache>
            </c:numRef>
          </c:val>
          <c:extLst>
            <c:ext xmlns:c16="http://schemas.microsoft.com/office/drawing/2014/chart" uri="{C3380CC4-5D6E-409C-BE32-E72D297353CC}">
              <c16:uniqueId val="{00000002-0161-4D45-ABDD-2A2110B100FE}"/>
            </c:ext>
          </c:extLst>
        </c:ser>
        <c:ser>
          <c:idx val="1"/>
          <c:order val="1"/>
          <c:tx>
            <c:strRef>
              <c:f>'Pivot Report'!$H$6</c:f>
              <c:strCache>
                <c:ptCount val="1"/>
                <c:pt idx="0">
                  <c:v>Count of Patient Admission Flag2</c:v>
                </c:pt>
              </c:strCache>
            </c:strRef>
          </c:tx>
          <c:spPr>
            <a:noFill/>
            <a:ln>
              <a:noFill/>
            </a:ln>
            <a:effectLst/>
          </c:spPr>
          <c:invertIfNegative val="0"/>
          <c:cat>
            <c:strRef>
              <c:f>'Pivot Report'!$F$7:$F$9</c:f>
              <c:strCache>
                <c:ptCount val="2"/>
                <c:pt idx="0">
                  <c:v>Admitted</c:v>
                </c:pt>
                <c:pt idx="1">
                  <c:v>Not Admitted</c:v>
                </c:pt>
              </c:strCache>
            </c:strRef>
          </c:cat>
          <c:val>
            <c:numRef>
              <c:f>'Pivot Report'!$H$7:$H$9</c:f>
              <c:numCache>
                <c:formatCode>0.00%</c:formatCode>
                <c:ptCount val="2"/>
                <c:pt idx="0">
                  <c:v>0.47368421052631576</c:v>
                </c:pt>
                <c:pt idx="1">
                  <c:v>0.52631578947368418</c:v>
                </c:pt>
              </c:numCache>
            </c:numRef>
          </c:val>
          <c:extLst>
            <c:ext xmlns:c16="http://schemas.microsoft.com/office/drawing/2014/chart" uri="{C3380CC4-5D6E-409C-BE32-E72D297353CC}">
              <c16:uniqueId val="{00000003-0161-4D45-ABDD-2A2110B100FE}"/>
            </c:ext>
          </c:extLst>
        </c:ser>
        <c:dLbls>
          <c:showLegendKey val="0"/>
          <c:showVal val="0"/>
          <c:showCatName val="0"/>
          <c:showSerName val="0"/>
          <c:showPercent val="0"/>
          <c:showBubbleSize val="0"/>
        </c:dLbls>
        <c:gapWidth val="109"/>
        <c:axId val="552341471"/>
        <c:axId val="552347231"/>
      </c:barChart>
      <c:catAx>
        <c:axId val="552341471"/>
        <c:scaling>
          <c:orientation val="minMax"/>
        </c:scaling>
        <c:delete val="1"/>
        <c:axPos val="l"/>
        <c:numFmt formatCode="General" sourceLinked="1"/>
        <c:majorTickMark val="none"/>
        <c:minorTickMark val="none"/>
        <c:tickLblPos val="nextTo"/>
        <c:crossAx val="552347231"/>
        <c:crosses val="autoZero"/>
        <c:auto val="1"/>
        <c:lblAlgn val="ctr"/>
        <c:lblOffset val="100"/>
        <c:noMultiLvlLbl val="0"/>
      </c:catAx>
      <c:valAx>
        <c:axId val="552347231"/>
        <c:scaling>
          <c:orientation val="minMax"/>
        </c:scaling>
        <c:delete val="1"/>
        <c:axPos val="b"/>
        <c:numFmt formatCode="0.00" sourceLinked="1"/>
        <c:majorTickMark val="none"/>
        <c:minorTickMark val="none"/>
        <c:tickLblPos val="nextTo"/>
        <c:crossAx val="55234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[Satish_Dhawl _Excel_Project.xlsx]Pivot Report!PivotTable6</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999999999999989"/>
          <c:h val="1"/>
        </c:manualLayout>
      </c:layout>
      <c:areaChart>
        <c:grouping val="standard"/>
        <c:varyColors val="0"/>
        <c:ser>
          <c:idx val="0"/>
          <c:order val="0"/>
          <c:tx>
            <c:strRef>
              <c:f>'Pivot Report'!$B$11</c:f>
              <c:strCache>
                <c:ptCount val="1"/>
                <c:pt idx="0">
                  <c:v>Total</c:v>
                </c:pt>
              </c:strCache>
            </c:strRef>
          </c:tx>
          <c:spPr>
            <a:solidFill>
              <a:schemeClr val="accent1"/>
            </a:solidFill>
            <a:ln w="25400">
              <a:noFill/>
            </a:ln>
            <a:effectLst/>
          </c:spPr>
          <c:cat>
            <c:multiLvlStrRef>
              <c:f>'Pivot Report'!$A$12:$A$44</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multiLvlStrCache>
            </c:multiLvlStrRef>
          </c:cat>
          <c:val>
            <c:numRef>
              <c:f>'Pivot Report'!$B$12:$B$44</c:f>
              <c:numCache>
                <c:formatCode>0.00</c:formatCode>
                <c:ptCount val="31"/>
                <c:pt idx="0">
                  <c:v>8</c:v>
                </c:pt>
                <c:pt idx="1">
                  <c:v>4</c:v>
                </c:pt>
                <c:pt idx="2">
                  <c:v>5.333333333333333</c:v>
                </c:pt>
                <c:pt idx="3">
                  <c:v>4.666666666666667</c:v>
                </c:pt>
                <c:pt idx="4">
                  <c:v>6.2</c:v>
                </c:pt>
                <c:pt idx="5">
                  <c:v>6.333333333333333</c:v>
                </c:pt>
                <c:pt idx="6">
                  <c:v>9.5</c:v>
                </c:pt>
                <c:pt idx="7">
                  <c:v>2</c:v>
                </c:pt>
                <c:pt idx="8">
                  <c:v>6.666666666666667</c:v>
                </c:pt>
                <c:pt idx="9">
                  <c:v>2.25</c:v>
                </c:pt>
                <c:pt idx="10">
                  <c:v>3</c:v>
                </c:pt>
                <c:pt idx="11">
                  <c:v>4.7142857142857144</c:v>
                </c:pt>
                <c:pt idx="12">
                  <c:v>10</c:v>
                </c:pt>
                <c:pt idx="13">
                  <c:v>5.666666666666667</c:v>
                </c:pt>
                <c:pt idx="14">
                  <c:v>5</c:v>
                </c:pt>
                <c:pt idx="15">
                  <c:v>3</c:v>
                </c:pt>
                <c:pt idx="16">
                  <c:v>5.333333333333333</c:v>
                </c:pt>
                <c:pt idx="17">
                  <c:v>5.833333333333333</c:v>
                </c:pt>
                <c:pt idx="18">
                  <c:v>5.8</c:v>
                </c:pt>
                <c:pt idx="19">
                  <c:v>5.2</c:v>
                </c:pt>
                <c:pt idx="20">
                  <c:v>4.5</c:v>
                </c:pt>
                <c:pt idx="21">
                  <c:v>6</c:v>
                </c:pt>
                <c:pt idx="22">
                  <c:v>6.5</c:v>
                </c:pt>
                <c:pt idx="23">
                  <c:v>4.166666666666667</c:v>
                </c:pt>
                <c:pt idx="24">
                  <c:v>3.6666666666666665</c:v>
                </c:pt>
                <c:pt idx="25">
                  <c:v>3.5</c:v>
                </c:pt>
                <c:pt idx="26">
                  <c:v>6</c:v>
                </c:pt>
                <c:pt idx="27">
                  <c:v>5.1428571428571432</c:v>
                </c:pt>
                <c:pt idx="28">
                  <c:v>4</c:v>
                </c:pt>
                <c:pt idx="29">
                  <c:v>3.5</c:v>
                </c:pt>
                <c:pt idx="30">
                  <c:v>5</c:v>
                </c:pt>
              </c:numCache>
            </c:numRef>
          </c:val>
          <c:extLst>
            <c:ext xmlns:c16="http://schemas.microsoft.com/office/drawing/2014/chart" uri="{C3380CC4-5D6E-409C-BE32-E72D297353CC}">
              <c16:uniqueId val="{00000000-7E2A-42C8-85D5-78E4A5CD6FA0}"/>
            </c:ext>
          </c:extLst>
        </c:ser>
        <c:dLbls>
          <c:showLegendKey val="0"/>
          <c:showVal val="0"/>
          <c:showCatName val="0"/>
          <c:showSerName val="0"/>
          <c:showPercent val="0"/>
          <c:showBubbleSize val="0"/>
        </c:dLbls>
        <c:axId val="1829412768"/>
        <c:axId val="1829430048"/>
      </c:areaChart>
      <c:catAx>
        <c:axId val="1829412768"/>
        <c:scaling>
          <c:orientation val="minMax"/>
        </c:scaling>
        <c:delete val="1"/>
        <c:axPos val="b"/>
        <c:numFmt formatCode="General" sourceLinked="1"/>
        <c:majorTickMark val="out"/>
        <c:minorTickMark val="none"/>
        <c:tickLblPos val="nextTo"/>
        <c:crossAx val="1829430048"/>
        <c:crosses val="autoZero"/>
        <c:auto val="1"/>
        <c:lblAlgn val="ctr"/>
        <c:lblOffset val="100"/>
        <c:noMultiLvlLbl val="0"/>
      </c:catAx>
      <c:valAx>
        <c:axId val="1829430048"/>
        <c:scaling>
          <c:orientation val="minMax"/>
        </c:scaling>
        <c:delete val="1"/>
        <c:axPos val="l"/>
        <c:numFmt formatCode="0.00" sourceLinked="1"/>
        <c:majorTickMark val="none"/>
        <c:minorTickMark val="none"/>
        <c:tickLblPos val="nextTo"/>
        <c:crossAx val="18294127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[Satish_Dhawl _Excel_Project.xlsx]Pivot Report!PivotTable3</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1629355056113927E-2"/>
          <c:w val="0.99722222222222223"/>
          <c:h val="0.77766687666656897"/>
        </c:manualLayout>
      </c:layout>
      <c:barChart>
        <c:barDir val="col"/>
        <c:grouping val="clustered"/>
        <c:varyColors val="0"/>
        <c:ser>
          <c:idx val="0"/>
          <c:order val="0"/>
          <c:tx>
            <c:strRef>
              <c:f>'Pivot Report'!$M$6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Report'!$L$7:$L$15</c:f>
              <c:strCache>
                <c:ptCount val="8"/>
                <c:pt idx="0">
                  <c:v>0-09</c:v>
                </c:pt>
                <c:pt idx="1">
                  <c:v>10-19</c:v>
                </c:pt>
                <c:pt idx="2">
                  <c:v>20-29</c:v>
                </c:pt>
                <c:pt idx="3">
                  <c:v>30-39</c:v>
                </c:pt>
                <c:pt idx="4">
                  <c:v>40-49</c:v>
                </c:pt>
                <c:pt idx="5">
                  <c:v>50-59</c:v>
                </c:pt>
                <c:pt idx="6">
                  <c:v>60-69</c:v>
                </c:pt>
                <c:pt idx="7">
                  <c:v>70-79</c:v>
                </c:pt>
              </c:strCache>
            </c:strRef>
          </c:cat>
          <c:val>
            <c:numRef>
              <c:f>'Pivot Report'!$M$7:$M$15</c:f>
              <c:numCache>
                <c:formatCode>General</c:formatCode>
                <c:ptCount val="8"/>
                <c:pt idx="0">
                  <c:v>70</c:v>
                </c:pt>
                <c:pt idx="1">
                  <c:v>73</c:v>
                </c:pt>
                <c:pt idx="2">
                  <c:v>58</c:v>
                </c:pt>
                <c:pt idx="3">
                  <c:v>73</c:v>
                </c:pt>
                <c:pt idx="4">
                  <c:v>55</c:v>
                </c:pt>
                <c:pt idx="5">
                  <c:v>51</c:v>
                </c:pt>
                <c:pt idx="6">
                  <c:v>67</c:v>
                </c:pt>
                <c:pt idx="7">
                  <c:v>47</c:v>
                </c:pt>
              </c:numCache>
            </c:numRef>
          </c:val>
          <c:extLst>
            <c:ext xmlns:c16="http://schemas.microsoft.com/office/drawing/2014/chart" uri="{C3380CC4-5D6E-409C-BE32-E72D297353CC}">
              <c16:uniqueId val="{00000000-7A65-4A50-818E-02CE2E09A63A}"/>
            </c:ext>
          </c:extLst>
        </c:ser>
        <c:dLbls>
          <c:showLegendKey val="0"/>
          <c:showVal val="0"/>
          <c:showCatName val="0"/>
          <c:showSerName val="0"/>
          <c:showPercent val="0"/>
          <c:showBubbleSize val="0"/>
        </c:dLbls>
        <c:gapWidth val="219"/>
        <c:overlap val="-27"/>
        <c:axId val="1873279151"/>
        <c:axId val="1873274831"/>
      </c:barChart>
      <c:catAx>
        <c:axId val="187327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274831"/>
        <c:crosses val="autoZero"/>
        <c:auto val="1"/>
        <c:lblAlgn val="ctr"/>
        <c:lblOffset val="100"/>
        <c:noMultiLvlLbl val="0"/>
      </c:catAx>
      <c:valAx>
        <c:axId val="1873274831"/>
        <c:scaling>
          <c:orientation val="minMax"/>
        </c:scaling>
        <c:delete val="1"/>
        <c:axPos val="l"/>
        <c:numFmt formatCode="General" sourceLinked="1"/>
        <c:majorTickMark val="none"/>
        <c:minorTickMark val="none"/>
        <c:tickLblPos val="nextTo"/>
        <c:crossAx val="187327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[Satish_Dhawl _Excel_Project.xlsx]Pivot Report!PivotTable8</c:name>
    <c:fmtId val="15"/>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6392962345671611"/>
              <c:y val="-0.228425146053877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91019876337446"/>
              <c:y val="0.127992278309172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0237592418201123"/>
          <c:y val="8.7063852969192432E-2"/>
          <c:w val="0.7774428941744338"/>
          <c:h val="0.82093628690969378"/>
        </c:manualLayout>
      </c:layout>
      <c:pieChart>
        <c:varyColors val="1"/>
        <c:ser>
          <c:idx val="0"/>
          <c:order val="0"/>
          <c:tx>
            <c:strRef>
              <c:f>'Pivot Report'!$L$41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dLbl>
              <c:idx val="0"/>
              <c:layout>
                <c:manualLayout>
                  <c:x val="-0.26392962345671611"/>
                  <c:y val="-0.22842514605387784"/>
                </c:manualLayout>
              </c:layout>
              <c:dLblPos val="bestFit"/>
              <c:showLegendKey val="0"/>
              <c:showVal val="0"/>
              <c:showCatName val="0"/>
              <c:showSerName val="0"/>
              <c:showPercent val="1"/>
              <c:showBubbleSize val="0"/>
              <c:extLst>
                <c:ext xmlns:c15="http://schemas.microsoft.com/office/drawing/2012/chart" uri="{CE6537A1-D6FC-4f65-9D91-7224C49458BB}"/>
              </c:extLst>
            </c:dLbl>
            <c:dLbl>
              <c:idx val="1"/>
              <c:layout>
                <c:manualLayout>
                  <c:x val="0.2391019876337446"/>
                  <c:y val="0.12799227830917295"/>
                </c:manualLayout>
              </c:layout>
              <c:dLblPos val="bestFi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Report'!$K$42:$K$44</c:f>
              <c:strCache>
                <c:ptCount val="2"/>
                <c:pt idx="0">
                  <c:v>Delay</c:v>
                </c:pt>
                <c:pt idx="1">
                  <c:v>Ontime</c:v>
                </c:pt>
              </c:strCache>
            </c:strRef>
          </c:cat>
          <c:val>
            <c:numRef>
              <c:f>'Pivot Report'!$L$42:$L$44</c:f>
              <c:numCache>
                <c:formatCode>General</c:formatCode>
                <c:ptCount val="2"/>
                <c:pt idx="0">
                  <c:v>307</c:v>
                </c:pt>
                <c:pt idx="1">
                  <c:v>187</c:v>
                </c:pt>
              </c:numCache>
            </c:numRef>
          </c:val>
          <c:extLst>
            <c:ext xmlns:c16="http://schemas.microsoft.com/office/drawing/2014/chart" uri="{C3380CC4-5D6E-409C-BE32-E72D297353CC}">
              <c16:uniqueId val="{00000004-BE14-454E-BCEB-33586947811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6.4918151034882828E-4"/>
          <c:y val="1.3600643292404452E-2"/>
          <c:w val="0.98475866076258789"/>
          <c:h val="0.108756214361209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[Satish_Dhawl _Excel_Project.xlsx]Pivot Report!PivotTable9</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0993325645830063"/>
          <c:y val="0.11072986224108212"/>
          <c:w val="0.78767301945967305"/>
          <c:h val="0.83252981432619277"/>
        </c:manualLayout>
      </c:layout>
      <c:pieChart>
        <c:varyColors val="1"/>
        <c:ser>
          <c:idx val="0"/>
          <c:order val="0"/>
          <c:tx>
            <c:strRef>
              <c:f>'Pivot Report'!$H$41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Report'!$G$42:$G$44</c:f>
              <c:strCache>
                <c:ptCount val="2"/>
                <c:pt idx="0">
                  <c:v>Female</c:v>
                </c:pt>
                <c:pt idx="1">
                  <c:v>Male</c:v>
                </c:pt>
              </c:strCache>
            </c:strRef>
          </c:cat>
          <c:val>
            <c:numRef>
              <c:f>'Pivot Report'!$H$42:$H$44</c:f>
              <c:numCache>
                <c:formatCode>General</c:formatCode>
                <c:ptCount val="2"/>
                <c:pt idx="0">
                  <c:v>241</c:v>
                </c:pt>
                <c:pt idx="1">
                  <c:v>253</c:v>
                </c:pt>
              </c:numCache>
            </c:numRef>
          </c:val>
          <c:extLst>
            <c:ext xmlns:c16="http://schemas.microsoft.com/office/drawing/2014/chart" uri="{C3380CC4-5D6E-409C-BE32-E72D297353CC}">
              <c16:uniqueId val="{00000004-5216-4F03-954A-A5C6209BDBF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2.4419720881481713E-2"/>
          <c:y val="4.8841554458869353E-3"/>
          <c:w val="0.95277560581081167"/>
          <c:h val="0.130508636627234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[Satish_Dhawl _Excel_Project.xlsx]Pivot Report!PivotTable10</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110894370077363"/>
          <c:y val="0"/>
          <c:w val="0.6553210601101106"/>
          <c:h val="0.8393927667807709"/>
        </c:manualLayout>
      </c:layout>
      <c:barChart>
        <c:barDir val="bar"/>
        <c:grouping val="clustered"/>
        <c:varyColors val="0"/>
        <c:ser>
          <c:idx val="0"/>
          <c:order val="0"/>
          <c:tx>
            <c:strRef>
              <c:f>'Pivot Report'!$H$50</c:f>
              <c:strCache>
                <c:ptCount val="1"/>
                <c:pt idx="0">
                  <c:v>Total</c:v>
                </c:pt>
              </c:strCache>
            </c:strRef>
          </c:tx>
          <c:spPr>
            <a:solidFill>
              <a:schemeClr val="accent1"/>
            </a:solidFill>
            <a:ln>
              <a:noFill/>
            </a:ln>
            <a:effectLst/>
          </c:spPr>
          <c:invertIfNegative val="0"/>
          <c:cat>
            <c:strRef>
              <c:f>'Pivot Report'!$G$51:$G$59</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Report'!$H$51:$H$59</c:f>
              <c:numCache>
                <c:formatCode>General</c:formatCode>
                <c:ptCount val="8"/>
                <c:pt idx="0">
                  <c:v>17</c:v>
                </c:pt>
                <c:pt idx="1">
                  <c:v>8</c:v>
                </c:pt>
                <c:pt idx="2">
                  <c:v>92</c:v>
                </c:pt>
                <c:pt idx="3">
                  <c:v>8</c:v>
                </c:pt>
                <c:pt idx="4">
                  <c:v>303</c:v>
                </c:pt>
                <c:pt idx="5">
                  <c:v>49</c:v>
                </c:pt>
                <c:pt idx="6">
                  <c:v>11</c:v>
                </c:pt>
                <c:pt idx="7">
                  <c:v>6</c:v>
                </c:pt>
              </c:numCache>
            </c:numRef>
          </c:val>
          <c:extLst>
            <c:ext xmlns:c16="http://schemas.microsoft.com/office/drawing/2014/chart" uri="{C3380CC4-5D6E-409C-BE32-E72D297353CC}">
              <c16:uniqueId val="{00000000-017B-4479-9EE4-797F506D8104}"/>
            </c:ext>
          </c:extLst>
        </c:ser>
        <c:dLbls>
          <c:showLegendKey val="0"/>
          <c:showVal val="0"/>
          <c:showCatName val="0"/>
          <c:showSerName val="0"/>
          <c:showPercent val="0"/>
          <c:showBubbleSize val="0"/>
        </c:dLbls>
        <c:gapWidth val="182"/>
        <c:axId val="2091455776"/>
        <c:axId val="2091450496"/>
      </c:barChart>
      <c:catAx>
        <c:axId val="2091455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091450496"/>
        <c:crosses val="autoZero"/>
        <c:auto val="1"/>
        <c:lblAlgn val="ctr"/>
        <c:lblOffset val="100"/>
        <c:noMultiLvlLbl val="0"/>
      </c:catAx>
      <c:valAx>
        <c:axId val="2091450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45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[Satish_Dhawl _Excel_Project.xlsx]Pivot Report!PivotTable7</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586305653486267E-2"/>
          <c:y val="1.4791796095398154E-2"/>
          <c:w val="0.9443865627310577"/>
          <c:h val="0.74571595217264497"/>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Report'!$E$5:$E$36</c:f>
              <c:numCache>
                <c:formatCode>General</c:formatCode>
                <c:ptCount val="31"/>
                <c:pt idx="0">
                  <c:v>14</c:v>
                </c:pt>
                <c:pt idx="1">
                  <c:v>15</c:v>
                </c:pt>
                <c:pt idx="2">
                  <c:v>17</c:v>
                </c:pt>
                <c:pt idx="3">
                  <c:v>12</c:v>
                </c:pt>
                <c:pt idx="4">
                  <c:v>23</c:v>
                </c:pt>
                <c:pt idx="5">
                  <c:v>10</c:v>
                </c:pt>
                <c:pt idx="6">
                  <c:v>18</c:v>
                </c:pt>
                <c:pt idx="7">
                  <c:v>11</c:v>
                </c:pt>
                <c:pt idx="8">
                  <c:v>12</c:v>
                </c:pt>
                <c:pt idx="9">
                  <c:v>24</c:v>
                </c:pt>
                <c:pt idx="10">
                  <c:v>16</c:v>
                </c:pt>
                <c:pt idx="11">
                  <c:v>21</c:v>
                </c:pt>
                <c:pt idx="12">
                  <c:v>16</c:v>
                </c:pt>
                <c:pt idx="13">
                  <c:v>15</c:v>
                </c:pt>
                <c:pt idx="14">
                  <c:v>14</c:v>
                </c:pt>
                <c:pt idx="15">
                  <c:v>18</c:v>
                </c:pt>
                <c:pt idx="16">
                  <c:v>12</c:v>
                </c:pt>
                <c:pt idx="17">
                  <c:v>18</c:v>
                </c:pt>
                <c:pt idx="18">
                  <c:v>16</c:v>
                </c:pt>
                <c:pt idx="19">
                  <c:v>22</c:v>
                </c:pt>
                <c:pt idx="20">
                  <c:v>16</c:v>
                </c:pt>
                <c:pt idx="21">
                  <c:v>10</c:v>
                </c:pt>
                <c:pt idx="22">
                  <c:v>18</c:v>
                </c:pt>
                <c:pt idx="23">
                  <c:v>13</c:v>
                </c:pt>
                <c:pt idx="24">
                  <c:v>20</c:v>
                </c:pt>
                <c:pt idx="25">
                  <c:v>17</c:v>
                </c:pt>
                <c:pt idx="26">
                  <c:v>19</c:v>
                </c:pt>
                <c:pt idx="27">
                  <c:v>17</c:v>
                </c:pt>
                <c:pt idx="28">
                  <c:v>22</c:v>
                </c:pt>
                <c:pt idx="29">
                  <c:v>9</c:v>
                </c:pt>
                <c:pt idx="30">
                  <c:v>9</c:v>
                </c:pt>
              </c:numCache>
            </c:numRef>
          </c:val>
          <c:extLst>
            <c:ext xmlns:c16="http://schemas.microsoft.com/office/drawing/2014/chart" uri="{C3380CC4-5D6E-409C-BE32-E72D297353CC}">
              <c16:uniqueId val="{00000000-B54F-41E2-9274-6B4C4A908E7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49437952"/>
        <c:axId val="1149438432"/>
      </c:areaChart>
      <c:catAx>
        <c:axId val="11494379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49438432"/>
        <c:crosses val="autoZero"/>
        <c:auto val="1"/>
        <c:lblAlgn val="ctr"/>
        <c:lblOffset val="100"/>
        <c:noMultiLvlLbl val="0"/>
      </c:catAx>
      <c:valAx>
        <c:axId val="1149438432"/>
        <c:scaling>
          <c:orientation val="minMax"/>
        </c:scaling>
        <c:delete val="1"/>
        <c:axPos val="l"/>
        <c:numFmt formatCode="General" sourceLinked="1"/>
        <c:majorTickMark val="out"/>
        <c:minorTickMark val="none"/>
        <c:tickLblPos val="nextTo"/>
        <c:crossAx val="11494379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229044601748016E-3"/>
          <c:y val="8.6858010180877743E-3"/>
          <c:w val="0.97072150400382995"/>
          <c:h val="0.8973683926974424"/>
        </c:manualLayout>
      </c:layout>
      <c:areaChart>
        <c:grouping val="standard"/>
        <c:varyColors val="0"/>
        <c:ser>
          <c:idx val="0"/>
          <c:order val="0"/>
          <c:tx>
            <c:v>Series1</c:v>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Lit>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Lit>
          </c:cat>
          <c:val>
            <c:numLit>
              <c:formatCode>General</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Lit>
          </c:val>
          <c:extLst>
            <c:ext xmlns:c16="http://schemas.microsoft.com/office/drawing/2014/chart" uri="{C3380CC4-5D6E-409C-BE32-E72D297353CC}">
              <c16:uniqueId val="{00000000-41CD-42E2-94DF-04ACB7F38CFA}"/>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327404735"/>
        <c:axId val="327401855"/>
      </c:areaChart>
      <c:catAx>
        <c:axId val="32740473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327401855"/>
        <c:crosses val="autoZero"/>
        <c:auto val="1"/>
        <c:lblAlgn val="ctr"/>
        <c:lblOffset val="100"/>
        <c:noMultiLvlLbl val="0"/>
      </c:catAx>
      <c:valAx>
        <c:axId val="32740185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7404735"/>
        <c:crosses val="autoZero"/>
        <c:crossBetween val="midCat"/>
      </c:valAx>
      <c:spPr>
        <a:gradFill flip="none" rotWithShape="1">
          <a:gsLst>
            <a:gs pos="17000">
              <a:schemeClr val="accent3">
                <a:lumMod val="75000"/>
              </a:schemeClr>
            </a:gs>
            <a:gs pos="87000">
              <a:schemeClr val="accent1">
                <a:lumMod val="30000"/>
                <a:lumOff val="70000"/>
              </a:schemeClr>
            </a:gs>
          </a:gsLst>
          <a:lin ang="8100000" scaled="1"/>
          <a:tileRect/>
        </a:gra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[Satish_Dhawl _Excel_Project.xlsx]Pivot Report!PivotTable6</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999999999999989"/>
          <c:h val="1"/>
        </c:manualLayout>
      </c:layout>
      <c:areaChart>
        <c:grouping val="standard"/>
        <c:varyColors val="0"/>
        <c:ser>
          <c:idx val="0"/>
          <c:order val="0"/>
          <c:tx>
            <c:strRef>
              <c:f>'Pivot Report'!$B$11</c:f>
              <c:strCache>
                <c:ptCount val="1"/>
                <c:pt idx="0">
                  <c:v>Total</c:v>
                </c:pt>
              </c:strCache>
            </c:strRef>
          </c:tx>
          <c:spPr>
            <a:solidFill>
              <a:schemeClr val="accent1"/>
            </a:solidFill>
            <a:ln w="25400">
              <a:noFill/>
            </a:ln>
            <a:effectLst/>
          </c:spPr>
          <c:cat>
            <c:multiLvlStrRef>
              <c:f>'Pivot Report'!$A$12:$A$44</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multiLvlStrCache>
            </c:multiLvlStrRef>
          </c:cat>
          <c:val>
            <c:numRef>
              <c:f>'Pivot Report'!$B$12:$B$44</c:f>
              <c:numCache>
                <c:formatCode>0.00</c:formatCode>
                <c:ptCount val="31"/>
                <c:pt idx="0">
                  <c:v>8</c:v>
                </c:pt>
                <c:pt idx="1">
                  <c:v>4</c:v>
                </c:pt>
                <c:pt idx="2">
                  <c:v>5.333333333333333</c:v>
                </c:pt>
                <c:pt idx="3">
                  <c:v>4.666666666666667</c:v>
                </c:pt>
                <c:pt idx="4">
                  <c:v>6.2</c:v>
                </c:pt>
                <c:pt idx="5">
                  <c:v>6.333333333333333</c:v>
                </c:pt>
                <c:pt idx="6">
                  <c:v>9.5</c:v>
                </c:pt>
                <c:pt idx="7">
                  <c:v>2</c:v>
                </c:pt>
                <c:pt idx="8">
                  <c:v>6.666666666666667</c:v>
                </c:pt>
                <c:pt idx="9">
                  <c:v>2.25</c:v>
                </c:pt>
                <c:pt idx="10">
                  <c:v>3</c:v>
                </c:pt>
                <c:pt idx="11">
                  <c:v>4.7142857142857144</c:v>
                </c:pt>
                <c:pt idx="12">
                  <c:v>10</c:v>
                </c:pt>
                <c:pt idx="13">
                  <c:v>5.666666666666667</c:v>
                </c:pt>
                <c:pt idx="14">
                  <c:v>5</c:v>
                </c:pt>
                <c:pt idx="15">
                  <c:v>3</c:v>
                </c:pt>
                <c:pt idx="16">
                  <c:v>5.333333333333333</c:v>
                </c:pt>
                <c:pt idx="17">
                  <c:v>5.833333333333333</c:v>
                </c:pt>
                <c:pt idx="18">
                  <c:v>5.8</c:v>
                </c:pt>
                <c:pt idx="19">
                  <c:v>5.2</c:v>
                </c:pt>
                <c:pt idx="20">
                  <c:v>4.5</c:v>
                </c:pt>
                <c:pt idx="21">
                  <c:v>6</c:v>
                </c:pt>
                <c:pt idx="22">
                  <c:v>6.5</c:v>
                </c:pt>
                <c:pt idx="23">
                  <c:v>4.166666666666667</c:v>
                </c:pt>
                <c:pt idx="24">
                  <c:v>3.6666666666666665</c:v>
                </c:pt>
                <c:pt idx="25">
                  <c:v>3.5</c:v>
                </c:pt>
                <c:pt idx="26">
                  <c:v>6</c:v>
                </c:pt>
                <c:pt idx="27">
                  <c:v>5.1428571428571432</c:v>
                </c:pt>
                <c:pt idx="28">
                  <c:v>4</c:v>
                </c:pt>
                <c:pt idx="29">
                  <c:v>3.5</c:v>
                </c:pt>
                <c:pt idx="30">
                  <c:v>5</c:v>
                </c:pt>
              </c:numCache>
            </c:numRef>
          </c:val>
          <c:extLst>
            <c:ext xmlns:c16="http://schemas.microsoft.com/office/drawing/2014/chart" uri="{C3380CC4-5D6E-409C-BE32-E72D297353CC}">
              <c16:uniqueId val="{00000000-7925-4779-A846-E3DA86278F04}"/>
            </c:ext>
          </c:extLst>
        </c:ser>
        <c:dLbls>
          <c:showLegendKey val="0"/>
          <c:showVal val="0"/>
          <c:showCatName val="0"/>
          <c:showSerName val="0"/>
          <c:showPercent val="0"/>
          <c:showBubbleSize val="0"/>
        </c:dLbls>
        <c:axId val="1829412768"/>
        <c:axId val="1829430048"/>
      </c:areaChart>
      <c:catAx>
        <c:axId val="1829412768"/>
        <c:scaling>
          <c:orientation val="minMax"/>
        </c:scaling>
        <c:delete val="1"/>
        <c:axPos val="b"/>
        <c:numFmt formatCode="General" sourceLinked="1"/>
        <c:majorTickMark val="out"/>
        <c:minorTickMark val="none"/>
        <c:tickLblPos val="nextTo"/>
        <c:crossAx val="1829430048"/>
        <c:crosses val="autoZero"/>
        <c:auto val="1"/>
        <c:lblAlgn val="ctr"/>
        <c:lblOffset val="100"/>
        <c:noMultiLvlLbl val="0"/>
      </c:catAx>
      <c:valAx>
        <c:axId val="1829430048"/>
        <c:scaling>
          <c:orientation val="minMax"/>
        </c:scaling>
        <c:delete val="1"/>
        <c:axPos val="l"/>
        <c:numFmt formatCode="0.00" sourceLinked="1"/>
        <c:majorTickMark val="none"/>
        <c:minorTickMark val="none"/>
        <c:tickLblPos val="nextTo"/>
        <c:crossAx val="18294127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image" Target="../media/image8.emf"/><Relationship Id="rId18" Type="http://schemas.openxmlformats.org/officeDocument/2006/relationships/chart" Target="../charts/chart14.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10.xml"/><Relationship Id="rId17" Type="http://schemas.openxmlformats.org/officeDocument/2006/relationships/chart" Target="../charts/chart13.xml"/><Relationship Id="rId2" Type="http://schemas.openxmlformats.org/officeDocument/2006/relationships/image" Target="../media/image2.png"/><Relationship Id="rId16"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9.xml"/><Relationship Id="rId5" Type="http://schemas.openxmlformats.org/officeDocument/2006/relationships/image" Target="../media/image5.svg"/><Relationship Id="rId15" Type="http://schemas.openxmlformats.org/officeDocument/2006/relationships/chart" Target="../charts/chart11.xml"/><Relationship Id="rId10" Type="http://schemas.openxmlformats.org/officeDocument/2006/relationships/hyperlink" Target="#'Average Wait-Time'!A1"/><Relationship Id="rId19" Type="http://schemas.openxmlformats.org/officeDocument/2006/relationships/chart" Target="../charts/chart15.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hyperlink" Target="#'Satisfaction Score'!A1"/></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6.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7.xml"/><Relationship Id="rId4" Type="http://schemas.openxmlformats.org/officeDocument/2006/relationships/image" Target="../media/image13.svg"/></Relationships>
</file>

<file path=xl/drawings/_rels/drawing5.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hyperlink" Target="#'Satisfaction Scor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18</xdr:col>
      <xdr:colOff>306103</xdr:colOff>
      <xdr:row>2</xdr:row>
      <xdr:rowOff>28656</xdr:rowOff>
    </xdr:from>
    <xdr:to>
      <xdr:col>28</xdr:col>
      <xdr:colOff>466708</xdr:colOff>
      <xdr:row>10</xdr:row>
      <xdr:rowOff>455572</xdr:rowOff>
    </xdr:to>
    <xdr:graphicFrame macro="">
      <xdr:nvGraphicFramePr>
        <xdr:cNvPr id="4" name="Chart 3">
          <a:extLst>
            <a:ext uri="{FF2B5EF4-FFF2-40B4-BE49-F238E27FC236}">
              <a16:creationId xmlns:a16="http://schemas.microsoft.com/office/drawing/2014/main" id="{F0DBB22C-897B-B35C-353E-C2BB929EE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306103</xdr:colOff>
      <xdr:row>24</xdr:row>
      <xdr:rowOff>174870</xdr:rowOff>
    </xdr:from>
    <xdr:to>
      <xdr:col>40</xdr:col>
      <xdr:colOff>600156</xdr:colOff>
      <xdr:row>40</xdr:row>
      <xdr:rowOff>1954</xdr:rowOff>
    </xdr:to>
    <xdr:graphicFrame macro="">
      <xdr:nvGraphicFramePr>
        <xdr:cNvPr id="5" name="Chart 4">
          <a:extLst>
            <a:ext uri="{FF2B5EF4-FFF2-40B4-BE49-F238E27FC236}">
              <a16:creationId xmlns:a16="http://schemas.microsoft.com/office/drawing/2014/main" id="{EE77A59A-AB38-46D7-9984-9C2D602D80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40</xdr:col>
      <xdr:colOff>42009</xdr:colOff>
      <xdr:row>6</xdr:row>
      <xdr:rowOff>177801</xdr:rowOff>
    </xdr:from>
    <xdr:to>
      <xdr:col>47</xdr:col>
      <xdr:colOff>308058</xdr:colOff>
      <xdr:row>22</xdr:row>
      <xdr:rowOff>4886</xdr:rowOff>
    </xdr:to>
    <xdr:graphicFrame macro="">
      <xdr:nvGraphicFramePr>
        <xdr:cNvPr id="3" name="Chart 2">
          <a:extLst>
            <a:ext uri="{FF2B5EF4-FFF2-40B4-BE49-F238E27FC236}">
              <a16:creationId xmlns:a16="http://schemas.microsoft.com/office/drawing/2014/main" id="{D992E814-FFC1-52CD-226E-3E0D61286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105833</xdr:colOff>
      <xdr:row>23</xdr:row>
      <xdr:rowOff>141330</xdr:rowOff>
    </xdr:from>
    <xdr:to>
      <xdr:col>28</xdr:col>
      <xdr:colOff>373509</xdr:colOff>
      <xdr:row>38</xdr:row>
      <xdr:rowOff>158915</xdr:rowOff>
    </xdr:to>
    <xdr:graphicFrame macro="">
      <xdr:nvGraphicFramePr>
        <xdr:cNvPr id="2" name="Chart 1">
          <a:extLst>
            <a:ext uri="{FF2B5EF4-FFF2-40B4-BE49-F238E27FC236}">
              <a16:creationId xmlns:a16="http://schemas.microsoft.com/office/drawing/2014/main" id="{903A6C03-07FD-B3F5-89DA-CEABAB1F20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547728</xdr:colOff>
      <xdr:row>9</xdr:row>
      <xdr:rowOff>197664</xdr:rowOff>
    </xdr:from>
    <xdr:to>
      <xdr:col>39</xdr:col>
      <xdr:colOff>199944</xdr:colOff>
      <xdr:row>21</xdr:row>
      <xdr:rowOff>30610</xdr:rowOff>
    </xdr:to>
    <xdr:graphicFrame macro="">
      <xdr:nvGraphicFramePr>
        <xdr:cNvPr id="6" name="Chart 5">
          <a:extLst>
            <a:ext uri="{FF2B5EF4-FFF2-40B4-BE49-F238E27FC236}">
              <a16:creationId xmlns:a16="http://schemas.microsoft.com/office/drawing/2014/main" id="{13D4F161-77E7-147B-A5A7-F3149C52E6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529709</xdr:colOff>
      <xdr:row>47</xdr:row>
      <xdr:rowOff>15197</xdr:rowOff>
    </xdr:from>
    <xdr:to>
      <xdr:col>28</xdr:col>
      <xdr:colOff>462411</xdr:colOff>
      <xdr:row>62</xdr:row>
      <xdr:rowOff>58615</xdr:rowOff>
    </xdr:to>
    <xdr:graphicFrame macro="">
      <xdr:nvGraphicFramePr>
        <xdr:cNvPr id="7" name="Chart 6">
          <a:extLst>
            <a:ext uri="{FF2B5EF4-FFF2-40B4-BE49-F238E27FC236}">
              <a16:creationId xmlns:a16="http://schemas.microsoft.com/office/drawing/2014/main" id="{20EDC306-8D9A-DF8F-AC70-E4230D8F69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112427</xdr:colOff>
      <xdr:row>15</xdr:row>
      <xdr:rowOff>64957</xdr:rowOff>
    </xdr:from>
    <xdr:to>
      <xdr:col>15</xdr:col>
      <xdr:colOff>149902</xdr:colOff>
      <xdr:row>30</xdr:row>
      <xdr:rowOff>91190</xdr:rowOff>
    </xdr:to>
    <xdr:graphicFrame macro="">
      <xdr:nvGraphicFramePr>
        <xdr:cNvPr id="8" name="Chart 7">
          <a:extLst>
            <a:ext uri="{FF2B5EF4-FFF2-40B4-BE49-F238E27FC236}">
              <a16:creationId xmlns:a16="http://schemas.microsoft.com/office/drawing/2014/main" id="{CA4395B1-D8A8-ADE9-E6A7-0F3B9FF40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56606</xdr:colOff>
      <xdr:row>0</xdr:row>
      <xdr:rowOff>60960</xdr:rowOff>
    </xdr:from>
    <xdr:to>
      <xdr:col>5</xdr:col>
      <xdr:colOff>217714</xdr:colOff>
      <xdr:row>3</xdr:row>
      <xdr:rowOff>4354</xdr:rowOff>
    </xdr:to>
    <xdr:sp macro="" textlink="">
      <xdr:nvSpPr>
        <xdr:cNvPr id="2" name="Rectangle: Rounded Corners 1">
          <a:extLst>
            <a:ext uri="{FF2B5EF4-FFF2-40B4-BE49-F238E27FC236}">
              <a16:creationId xmlns:a16="http://schemas.microsoft.com/office/drawing/2014/main" id="{E67A7A7E-1CCC-4211-E1B9-F62077BF130B}"/>
            </a:ext>
          </a:extLst>
        </xdr:cNvPr>
        <xdr:cNvSpPr/>
      </xdr:nvSpPr>
      <xdr:spPr>
        <a:xfrm>
          <a:off x="56606" y="60960"/>
          <a:ext cx="3217258" cy="493501"/>
        </a:xfrm>
        <a:prstGeom prst="roundRect">
          <a:avLst>
            <a:gd name="adj" fmla="val 122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5</xdr:col>
      <xdr:colOff>274321</xdr:colOff>
      <xdr:row>0</xdr:row>
      <xdr:rowOff>60960</xdr:rowOff>
    </xdr:from>
    <xdr:to>
      <xdr:col>7</xdr:col>
      <xdr:colOff>34834</xdr:colOff>
      <xdr:row>3</xdr:row>
      <xdr:rowOff>4354</xdr:rowOff>
    </xdr:to>
    <xdr:sp macro="" textlink="">
      <xdr:nvSpPr>
        <xdr:cNvPr id="4" name="Rectangle: Rounded Corners 3">
          <a:extLst>
            <a:ext uri="{FF2B5EF4-FFF2-40B4-BE49-F238E27FC236}">
              <a16:creationId xmlns:a16="http://schemas.microsoft.com/office/drawing/2014/main" id="{A69C2A7F-B9B3-B131-3E77-EAEB1AC48090}"/>
            </a:ext>
          </a:extLst>
        </xdr:cNvPr>
        <xdr:cNvSpPr/>
      </xdr:nvSpPr>
      <xdr:spPr>
        <a:xfrm>
          <a:off x="3322321" y="60960"/>
          <a:ext cx="979713" cy="492034"/>
        </a:xfrm>
        <a:prstGeom prst="roundRect">
          <a:avLst>
            <a:gd name="adj" fmla="val 122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7</xdr:col>
      <xdr:colOff>91441</xdr:colOff>
      <xdr:row>0</xdr:row>
      <xdr:rowOff>60959</xdr:rowOff>
    </xdr:from>
    <xdr:to>
      <xdr:col>9</xdr:col>
      <xdr:colOff>143691</xdr:colOff>
      <xdr:row>6</xdr:row>
      <xdr:rowOff>143690</xdr:rowOff>
    </xdr:to>
    <xdr:sp macro="" textlink="">
      <xdr:nvSpPr>
        <xdr:cNvPr id="5" name="Rectangle: Rounded Corners 4">
          <a:extLst>
            <a:ext uri="{FF2B5EF4-FFF2-40B4-BE49-F238E27FC236}">
              <a16:creationId xmlns:a16="http://schemas.microsoft.com/office/drawing/2014/main" id="{D77F685F-214C-89F4-ABE3-E91F4E8AC7D7}"/>
            </a:ext>
          </a:extLst>
        </xdr:cNvPr>
        <xdr:cNvSpPr/>
      </xdr:nvSpPr>
      <xdr:spPr>
        <a:xfrm>
          <a:off x="4358641" y="60959"/>
          <a:ext cx="1271450" cy="1180011"/>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9</xdr:col>
      <xdr:colOff>204653</xdr:colOff>
      <xdr:row>0</xdr:row>
      <xdr:rowOff>52810</xdr:rowOff>
    </xdr:from>
    <xdr:to>
      <xdr:col>11</xdr:col>
      <xdr:colOff>256903</xdr:colOff>
      <xdr:row>6</xdr:row>
      <xdr:rowOff>135541</xdr:rowOff>
    </xdr:to>
    <xdr:sp macro="" textlink="">
      <xdr:nvSpPr>
        <xdr:cNvPr id="6" name="Rectangle: Rounded Corners 5">
          <a:extLst>
            <a:ext uri="{FF2B5EF4-FFF2-40B4-BE49-F238E27FC236}">
              <a16:creationId xmlns:a16="http://schemas.microsoft.com/office/drawing/2014/main" id="{DFA7170B-8A69-022F-0917-011419E5CFB6}"/>
            </a:ext>
          </a:extLst>
        </xdr:cNvPr>
        <xdr:cNvSpPr/>
      </xdr:nvSpPr>
      <xdr:spPr>
        <a:xfrm>
          <a:off x="5705723" y="52810"/>
          <a:ext cx="1274709" cy="1182945"/>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0</xdr:col>
      <xdr:colOff>56607</xdr:colOff>
      <xdr:row>3</xdr:row>
      <xdr:rowOff>60958</xdr:rowOff>
    </xdr:from>
    <xdr:to>
      <xdr:col>1</xdr:col>
      <xdr:colOff>126275</xdr:colOff>
      <xdr:row>15</xdr:row>
      <xdr:rowOff>95793</xdr:rowOff>
    </xdr:to>
    <xdr:sp macro="" textlink="">
      <xdr:nvSpPr>
        <xdr:cNvPr id="7" name="Rectangle: Rounded Corners 6">
          <a:extLst>
            <a:ext uri="{FF2B5EF4-FFF2-40B4-BE49-F238E27FC236}">
              <a16:creationId xmlns:a16="http://schemas.microsoft.com/office/drawing/2014/main" id="{BB7BA2C5-2B8B-D97C-C1A7-855AC3583642}"/>
            </a:ext>
          </a:extLst>
        </xdr:cNvPr>
        <xdr:cNvSpPr/>
      </xdr:nvSpPr>
      <xdr:spPr>
        <a:xfrm>
          <a:off x="56607" y="609598"/>
          <a:ext cx="679268" cy="2229395"/>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182881</xdr:colOff>
      <xdr:row>3</xdr:row>
      <xdr:rowOff>60958</xdr:rowOff>
    </xdr:from>
    <xdr:to>
      <xdr:col>3</xdr:col>
      <xdr:colOff>87602</xdr:colOff>
      <xdr:row>7</xdr:row>
      <xdr:rowOff>60959</xdr:rowOff>
    </xdr:to>
    <xdr:sp macro="" textlink="">
      <xdr:nvSpPr>
        <xdr:cNvPr id="8" name="Rectangle: Rounded Corners 7">
          <a:extLst>
            <a:ext uri="{FF2B5EF4-FFF2-40B4-BE49-F238E27FC236}">
              <a16:creationId xmlns:a16="http://schemas.microsoft.com/office/drawing/2014/main" id="{D5563D2A-6447-F3BE-5486-3D19C4B1EEC7}"/>
            </a:ext>
          </a:extLst>
        </xdr:cNvPr>
        <xdr:cNvSpPr/>
      </xdr:nvSpPr>
      <xdr:spPr>
        <a:xfrm>
          <a:off x="792481"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3</xdr:col>
      <xdr:colOff>154320</xdr:colOff>
      <xdr:row>3</xdr:row>
      <xdr:rowOff>60958</xdr:rowOff>
    </xdr:from>
    <xdr:to>
      <xdr:col>5</xdr:col>
      <xdr:colOff>59041</xdr:colOff>
      <xdr:row>7</xdr:row>
      <xdr:rowOff>60959</xdr:rowOff>
    </xdr:to>
    <xdr:sp macro="" textlink="">
      <xdr:nvSpPr>
        <xdr:cNvPr id="9" name="Rectangle: Rounded Corners 8">
          <a:extLst>
            <a:ext uri="{FF2B5EF4-FFF2-40B4-BE49-F238E27FC236}">
              <a16:creationId xmlns:a16="http://schemas.microsoft.com/office/drawing/2014/main" id="{CE569100-EAAB-FD25-B28A-DFB8F656B880}"/>
            </a:ext>
          </a:extLst>
        </xdr:cNvPr>
        <xdr:cNvSpPr/>
      </xdr:nvSpPr>
      <xdr:spPr>
        <a:xfrm>
          <a:off x="1983120"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5</xdr:col>
      <xdr:colOff>125759</xdr:colOff>
      <xdr:row>3</xdr:row>
      <xdr:rowOff>60958</xdr:rowOff>
    </xdr:from>
    <xdr:to>
      <xdr:col>7</xdr:col>
      <xdr:colOff>30480</xdr:colOff>
      <xdr:row>7</xdr:row>
      <xdr:rowOff>60959</xdr:rowOff>
    </xdr:to>
    <xdr:sp macro="" textlink="">
      <xdr:nvSpPr>
        <xdr:cNvPr id="10" name="Rectangle: Rounded Corners 9">
          <a:extLst>
            <a:ext uri="{FF2B5EF4-FFF2-40B4-BE49-F238E27FC236}">
              <a16:creationId xmlns:a16="http://schemas.microsoft.com/office/drawing/2014/main" id="{B1271AC1-A90B-A608-C667-D00144989A18}"/>
            </a:ext>
          </a:extLst>
        </xdr:cNvPr>
        <xdr:cNvSpPr/>
      </xdr:nvSpPr>
      <xdr:spPr>
        <a:xfrm>
          <a:off x="3173759"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170656</xdr:colOff>
      <xdr:row>10</xdr:row>
      <xdr:rowOff>10616</xdr:rowOff>
    </xdr:from>
    <xdr:to>
      <xdr:col>7</xdr:col>
      <xdr:colOff>40747</xdr:colOff>
      <xdr:row>15</xdr:row>
      <xdr:rowOff>105946</xdr:rowOff>
    </xdr:to>
    <xdr:sp macro="" textlink="">
      <xdr:nvSpPr>
        <xdr:cNvPr id="22" name="Rectangle: Rounded Corners 21">
          <a:extLst>
            <a:ext uri="{FF2B5EF4-FFF2-40B4-BE49-F238E27FC236}">
              <a16:creationId xmlns:a16="http://schemas.microsoft.com/office/drawing/2014/main" id="{34FA7E21-2B18-30EA-34DC-D7A3BCEE5A92}"/>
            </a:ext>
          </a:extLst>
        </xdr:cNvPr>
        <xdr:cNvSpPr/>
      </xdr:nvSpPr>
      <xdr:spPr>
        <a:xfrm>
          <a:off x="781886" y="1844306"/>
          <a:ext cx="3537471" cy="1012175"/>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0</xdr:col>
      <xdr:colOff>78377</xdr:colOff>
      <xdr:row>15</xdr:row>
      <xdr:rowOff>95793</xdr:rowOff>
    </xdr:from>
    <xdr:to>
      <xdr:col>9</xdr:col>
      <xdr:colOff>213360</xdr:colOff>
      <xdr:row>15</xdr:row>
      <xdr:rowOff>95793</xdr:rowOff>
    </xdr:to>
    <xdr:cxnSp macro="">
      <xdr:nvCxnSpPr>
        <xdr:cNvPr id="25" name="Straight Connector 24">
          <a:extLst>
            <a:ext uri="{FF2B5EF4-FFF2-40B4-BE49-F238E27FC236}">
              <a16:creationId xmlns:a16="http://schemas.microsoft.com/office/drawing/2014/main" id="{D6986440-16B3-DCE6-6FA3-9AE7612E1197}"/>
            </a:ext>
          </a:extLst>
        </xdr:cNvPr>
        <xdr:cNvCxnSpPr/>
      </xdr:nvCxnSpPr>
      <xdr:spPr>
        <a:xfrm>
          <a:off x="78377" y="2838993"/>
          <a:ext cx="56213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269965</xdr:colOff>
      <xdr:row>1</xdr:row>
      <xdr:rowOff>8708</xdr:rowOff>
    </xdr:from>
    <xdr:to>
      <xdr:col>11</xdr:col>
      <xdr:colOff>287383</xdr:colOff>
      <xdr:row>16</xdr:row>
      <xdr:rowOff>8708</xdr:rowOff>
    </xdr:to>
    <xdr:cxnSp macro="">
      <xdr:nvCxnSpPr>
        <xdr:cNvPr id="27" name="Straight Connector 26">
          <a:extLst>
            <a:ext uri="{FF2B5EF4-FFF2-40B4-BE49-F238E27FC236}">
              <a16:creationId xmlns:a16="http://schemas.microsoft.com/office/drawing/2014/main" id="{DE371AF4-5E9C-4852-C0AB-EDF4105F2014}"/>
            </a:ext>
          </a:extLst>
        </xdr:cNvPr>
        <xdr:cNvCxnSpPr/>
      </xdr:nvCxnSpPr>
      <xdr:spPr>
        <a:xfrm>
          <a:off x="6975565" y="191588"/>
          <a:ext cx="17418" cy="2743200"/>
        </a:xfrm>
        <a:prstGeom prst="line">
          <a:avLst/>
        </a:prstGeom>
        <a:ln>
          <a:no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7</xdr:col>
      <xdr:colOff>100149</xdr:colOff>
      <xdr:row>7</xdr:row>
      <xdr:rowOff>25095</xdr:rowOff>
    </xdr:from>
    <xdr:to>
      <xdr:col>11</xdr:col>
      <xdr:colOff>256903</xdr:colOff>
      <xdr:row>15</xdr:row>
      <xdr:rowOff>86055</xdr:rowOff>
    </xdr:to>
    <xdr:sp macro="" textlink="">
      <xdr:nvSpPr>
        <xdr:cNvPr id="29" name="Rectangle: Rounded Corners 28">
          <a:extLst>
            <a:ext uri="{FF2B5EF4-FFF2-40B4-BE49-F238E27FC236}">
              <a16:creationId xmlns:a16="http://schemas.microsoft.com/office/drawing/2014/main" id="{E3A8C7E6-25DB-5B34-5980-192EB3F0CF70}"/>
            </a:ext>
          </a:extLst>
        </xdr:cNvPr>
        <xdr:cNvSpPr/>
      </xdr:nvSpPr>
      <xdr:spPr>
        <a:xfrm>
          <a:off x="4367349" y="1316484"/>
          <a:ext cx="2595154" cy="1536834"/>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69668</xdr:colOff>
      <xdr:row>0</xdr:row>
      <xdr:rowOff>117565</xdr:rowOff>
    </xdr:from>
    <xdr:to>
      <xdr:col>5</xdr:col>
      <xdr:colOff>165463</xdr:colOff>
      <xdr:row>2</xdr:row>
      <xdr:rowOff>845</xdr:rowOff>
    </xdr:to>
    <xdr:sp macro="" textlink="">
      <xdr:nvSpPr>
        <xdr:cNvPr id="30" name="TextBox 29">
          <a:extLst>
            <a:ext uri="{FF2B5EF4-FFF2-40B4-BE49-F238E27FC236}">
              <a16:creationId xmlns:a16="http://schemas.microsoft.com/office/drawing/2014/main" id="{257D23DA-9CFF-3152-17CE-20C316E25F38}"/>
            </a:ext>
          </a:extLst>
        </xdr:cNvPr>
        <xdr:cNvSpPr txBox="1"/>
      </xdr:nvSpPr>
      <xdr:spPr>
        <a:xfrm>
          <a:off x="679268" y="117565"/>
          <a:ext cx="2534195" cy="248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kern="1200"/>
            <a:t>Hospital</a:t>
          </a:r>
          <a:r>
            <a:rPr lang="en-IN" sz="1200" kern="1200" baseline="0"/>
            <a:t> Emergency Room Dashboard</a:t>
          </a:r>
          <a:endParaRPr lang="en-IN" sz="1200" kern="1200"/>
        </a:p>
      </xdr:txBody>
    </xdr:sp>
    <xdr:clientData/>
  </xdr:twoCellAnchor>
  <xdr:twoCellAnchor editAs="oneCell">
    <xdr:from>
      <xdr:col>0</xdr:col>
      <xdr:colOff>34833</xdr:colOff>
      <xdr:row>0</xdr:row>
      <xdr:rowOff>14402</xdr:rowOff>
    </xdr:from>
    <xdr:to>
      <xdr:col>1</xdr:col>
      <xdr:colOff>100149</xdr:colOff>
      <xdr:row>3</xdr:row>
      <xdr:rowOff>4356</xdr:rowOff>
    </xdr:to>
    <xdr:pic>
      <xdr:nvPicPr>
        <xdr:cNvPr id="32" name="Picture 31" descr="A blue hospital building with a cross&#10;&#10;AI-generated content may be incorrect.">
          <a:extLst>
            <a:ext uri="{FF2B5EF4-FFF2-40B4-BE49-F238E27FC236}">
              <a16:creationId xmlns:a16="http://schemas.microsoft.com/office/drawing/2014/main" id="{1D19A282-B0FF-C91B-0F2C-951002EFACE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1" r="18000" b="10169"/>
        <a:stretch/>
      </xdr:blipFill>
      <xdr:spPr>
        <a:xfrm>
          <a:off x="34833" y="14402"/>
          <a:ext cx="674916" cy="538594"/>
        </a:xfrm>
        <a:prstGeom prst="rect">
          <a:avLst/>
        </a:prstGeom>
      </xdr:spPr>
    </xdr:pic>
    <xdr:clientData/>
  </xdr:twoCellAnchor>
  <xdr:twoCellAnchor editAs="absolute">
    <xdr:from>
      <xdr:col>2</xdr:col>
      <xdr:colOff>113211</xdr:colOff>
      <xdr:row>1</xdr:row>
      <xdr:rowOff>143691</xdr:rowOff>
    </xdr:from>
    <xdr:to>
      <xdr:col>3</xdr:col>
      <xdr:colOff>496388</xdr:colOff>
      <xdr:row>2</xdr:row>
      <xdr:rowOff>108857</xdr:rowOff>
    </xdr:to>
    <xdr:sp macro="" textlink="">
      <xdr:nvSpPr>
        <xdr:cNvPr id="33" name="TextBox 32">
          <a:extLst>
            <a:ext uri="{FF2B5EF4-FFF2-40B4-BE49-F238E27FC236}">
              <a16:creationId xmlns:a16="http://schemas.microsoft.com/office/drawing/2014/main" id="{5B90EC51-60ED-E6B0-73D6-C734C9407487}"/>
            </a:ext>
          </a:extLst>
        </xdr:cNvPr>
        <xdr:cNvSpPr txBox="1"/>
      </xdr:nvSpPr>
      <xdr:spPr>
        <a:xfrm>
          <a:off x="1332411" y="326571"/>
          <a:ext cx="992777"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Monthly</a:t>
          </a:r>
          <a:r>
            <a:rPr lang="en-IN" sz="900" kern="1200" baseline="0"/>
            <a:t> Report</a:t>
          </a:r>
          <a:endParaRPr lang="en-IN" sz="900" kern="1200"/>
        </a:p>
      </xdr:txBody>
    </xdr:sp>
    <xdr:clientData/>
  </xdr:twoCellAnchor>
  <xdr:twoCellAnchor editAs="absolute">
    <xdr:from>
      <xdr:col>1</xdr:col>
      <xdr:colOff>174171</xdr:colOff>
      <xdr:row>4</xdr:row>
      <xdr:rowOff>139339</xdr:rowOff>
    </xdr:from>
    <xdr:to>
      <xdr:col>3</xdr:col>
      <xdr:colOff>87086</xdr:colOff>
      <xdr:row>5</xdr:row>
      <xdr:rowOff>104505</xdr:rowOff>
    </xdr:to>
    <xdr:sp macro="" textlink="">
      <xdr:nvSpPr>
        <xdr:cNvPr id="34" name="TextBox 33">
          <a:extLst>
            <a:ext uri="{FF2B5EF4-FFF2-40B4-BE49-F238E27FC236}">
              <a16:creationId xmlns:a16="http://schemas.microsoft.com/office/drawing/2014/main" id="{9F740260-D36A-EDE7-0D62-FFE8F5186843}"/>
            </a:ext>
          </a:extLst>
        </xdr:cNvPr>
        <xdr:cNvSpPr txBox="1"/>
      </xdr:nvSpPr>
      <xdr:spPr>
        <a:xfrm>
          <a:off x="783771"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No. of Patient</a:t>
          </a:r>
        </a:p>
      </xdr:txBody>
    </xdr:sp>
    <xdr:clientData/>
  </xdr:twoCellAnchor>
  <xdr:twoCellAnchor editAs="absolute">
    <xdr:from>
      <xdr:col>1</xdr:col>
      <xdr:colOff>174171</xdr:colOff>
      <xdr:row>3</xdr:row>
      <xdr:rowOff>156756</xdr:rowOff>
    </xdr:from>
    <xdr:to>
      <xdr:col>3</xdr:col>
      <xdr:colOff>87086</xdr:colOff>
      <xdr:row>4</xdr:row>
      <xdr:rowOff>121922</xdr:rowOff>
    </xdr:to>
    <xdr:sp macro="" textlink="'Pivot Report'!A5">
      <xdr:nvSpPr>
        <xdr:cNvPr id="36" name="TextBox 35">
          <a:extLst>
            <a:ext uri="{FF2B5EF4-FFF2-40B4-BE49-F238E27FC236}">
              <a16:creationId xmlns:a16="http://schemas.microsoft.com/office/drawing/2014/main" id="{DF34BBB7-5778-972B-97C2-5F2DBE652477}"/>
            </a:ext>
          </a:extLst>
        </xdr:cNvPr>
        <xdr:cNvSpPr txBox="1"/>
      </xdr:nvSpPr>
      <xdr:spPr>
        <a:xfrm>
          <a:off x="783771"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515856D-C13D-42F6-97C6-1AA19F5B5351}" type="TxLink">
            <a:rPr lang="en-US" sz="1100" b="0" i="0" u="none" strike="noStrike" kern="1200">
              <a:solidFill>
                <a:srgbClr val="000000"/>
              </a:solidFill>
              <a:latin typeface="Aptos Narrow"/>
            </a:rPr>
            <a:pPr algn="ctr"/>
            <a:t>Aug</a:t>
          </a:fld>
          <a:endParaRPr lang="en-IN" sz="900" kern="1200"/>
        </a:p>
      </xdr:txBody>
    </xdr:sp>
    <xdr:clientData/>
  </xdr:twoCellAnchor>
  <xdr:twoCellAnchor editAs="absolute">
    <xdr:from>
      <xdr:col>3</xdr:col>
      <xdr:colOff>148046</xdr:colOff>
      <xdr:row>4</xdr:row>
      <xdr:rowOff>139339</xdr:rowOff>
    </xdr:from>
    <xdr:to>
      <xdr:col>5</xdr:col>
      <xdr:colOff>60961</xdr:colOff>
      <xdr:row>5</xdr:row>
      <xdr:rowOff>104505</xdr:rowOff>
    </xdr:to>
    <xdr:sp macro="" textlink="">
      <xdr:nvSpPr>
        <xdr:cNvPr id="37" name="TextBox 36">
          <a:extLst>
            <a:ext uri="{FF2B5EF4-FFF2-40B4-BE49-F238E27FC236}">
              <a16:creationId xmlns:a16="http://schemas.microsoft.com/office/drawing/2014/main" id="{03431B69-353E-32C9-C5C2-7EAF898A16C4}"/>
            </a:ext>
          </a:extLst>
        </xdr:cNvPr>
        <xdr:cNvSpPr txBox="1"/>
      </xdr:nvSpPr>
      <xdr:spPr>
        <a:xfrm>
          <a:off x="1976846"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Average Wait Time</a:t>
          </a:r>
        </a:p>
      </xdr:txBody>
    </xdr:sp>
    <xdr:clientData/>
  </xdr:twoCellAnchor>
  <xdr:twoCellAnchor editAs="absolute">
    <xdr:from>
      <xdr:col>3</xdr:col>
      <xdr:colOff>148046</xdr:colOff>
      <xdr:row>3</xdr:row>
      <xdr:rowOff>156756</xdr:rowOff>
    </xdr:from>
    <xdr:to>
      <xdr:col>5</xdr:col>
      <xdr:colOff>60961</xdr:colOff>
      <xdr:row>4</xdr:row>
      <xdr:rowOff>121922</xdr:rowOff>
    </xdr:to>
    <xdr:sp macro="" textlink="'Pivot Report'!A9">
      <xdr:nvSpPr>
        <xdr:cNvPr id="38" name="TextBox 37">
          <a:extLst>
            <a:ext uri="{FF2B5EF4-FFF2-40B4-BE49-F238E27FC236}">
              <a16:creationId xmlns:a16="http://schemas.microsoft.com/office/drawing/2014/main" id="{2587E25C-2C0E-0A80-94BC-CEC8D9C89F96}"/>
            </a:ext>
          </a:extLst>
        </xdr:cNvPr>
        <xdr:cNvSpPr txBox="1"/>
      </xdr:nvSpPr>
      <xdr:spPr>
        <a:xfrm>
          <a:off x="1976846"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FDF5C98-7B7C-4602-95A9-D008DD62AABF}" type="TxLink">
            <a:rPr lang="en-US" sz="1100" b="0" i="0" u="none" strike="noStrike" kern="1200">
              <a:solidFill>
                <a:srgbClr val="000000"/>
              </a:solidFill>
              <a:latin typeface="Aptos Narrow"/>
            </a:rPr>
            <a:pPr algn="ctr"/>
            <a:t> </a:t>
          </a:fld>
          <a:endParaRPr lang="en-IN" sz="900" kern="1200"/>
        </a:p>
      </xdr:txBody>
    </xdr:sp>
    <xdr:clientData/>
  </xdr:twoCellAnchor>
  <xdr:twoCellAnchor editAs="absolute">
    <xdr:from>
      <xdr:col>5</xdr:col>
      <xdr:colOff>121921</xdr:colOff>
      <xdr:row>4</xdr:row>
      <xdr:rowOff>139339</xdr:rowOff>
    </xdr:from>
    <xdr:to>
      <xdr:col>7</xdr:col>
      <xdr:colOff>34836</xdr:colOff>
      <xdr:row>5</xdr:row>
      <xdr:rowOff>104505</xdr:rowOff>
    </xdr:to>
    <xdr:sp macro="" textlink="">
      <xdr:nvSpPr>
        <xdr:cNvPr id="39" name="TextBox 38">
          <a:extLst>
            <a:ext uri="{FF2B5EF4-FFF2-40B4-BE49-F238E27FC236}">
              <a16:creationId xmlns:a16="http://schemas.microsoft.com/office/drawing/2014/main" id="{21900A3A-6DB8-10F8-E135-D5987D9D90B8}"/>
            </a:ext>
          </a:extLst>
        </xdr:cNvPr>
        <xdr:cNvSpPr txBox="1"/>
      </xdr:nvSpPr>
      <xdr:spPr>
        <a:xfrm>
          <a:off x="3169921"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Patient Satisfaction</a:t>
          </a:r>
          <a:r>
            <a:rPr lang="en-IN" sz="800" kern="1200" baseline="0"/>
            <a:t> Score</a:t>
          </a:r>
          <a:endParaRPr lang="en-IN" sz="800" kern="1200"/>
        </a:p>
      </xdr:txBody>
    </xdr:sp>
    <xdr:clientData/>
  </xdr:twoCellAnchor>
  <xdr:twoCellAnchor editAs="absolute">
    <xdr:from>
      <xdr:col>5</xdr:col>
      <xdr:colOff>121921</xdr:colOff>
      <xdr:row>3</xdr:row>
      <xdr:rowOff>156756</xdr:rowOff>
    </xdr:from>
    <xdr:to>
      <xdr:col>7</xdr:col>
      <xdr:colOff>34836</xdr:colOff>
      <xdr:row>4</xdr:row>
      <xdr:rowOff>121922</xdr:rowOff>
    </xdr:to>
    <xdr:sp macro="" textlink="'Pivot Report'!A12">
      <xdr:nvSpPr>
        <xdr:cNvPr id="40" name="TextBox 39">
          <a:extLst>
            <a:ext uri="{FF2B5EF4-FFF2-40B4-BE49-F238E27FC236}">
              <a16:creationId xmlns:a16="http://schemas.microsoft.com/office/drawing/2014/main" id="{1C3BA6C6-B61B-7EDF-96D9-EB8A03E391F3}"/>
            </a:ext>
          </a:extLst>
        </xdr:cNvPr>
        <xdr:cNvSpPr txBox="1"/>
      </xdr:nvSpPr>
      <xdr:spPr>
        <a:xfrm>
          <a:off x="3169921"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F3AE061-D6A0-4B5C-8101-4A1FCEF8F55A}" type="TxLink">
            <a:rPr lang="en-US" sz="1100" b="0" i="0" u="none" strike="noStrike" kern="1200">
              <a:solidFill>
                <a:srgbClr val="000000"/>
              </a:solidFill>
              <a:latin typeface="Aptos Narrow"/>
            </a:rPr>
            <a:pPr algn="ctr"/>
            <a:t>Aug</a:t>
          </a:fld>
          <a:endParaRPr lang="en-IN" sz="900" kern="1200"/>
        </a:p>
      </xdr:txBody>
    </xdr:sp>
    <xdr:clientData/>
  </xdr:twoCellAnchor>
  <xdr:twoCellAnchor editAs="oneCell">
    <xdr:from>
      <xdr:col>2</xdr:col>
      <xdr:colOff>461555</xdr:colOff>
      <xdr:row>3</xdr:row>
      <xdr:rowOff>69671</xdr:rowOff>
    </xdr:from>
    <xdr:to>
      <xdr:col>3</xdr:col>
      <xdr:colOff>65313</xdr:colOff>
      <xdr:row>4</xdr:row>
      <xdr:rowOff>100149</xdr:rowOff>
    </xdr:to>
    <xdr:pic>
      <xdr:nvPicPr>
        <xdr:cNvPr id="42" name="Graphic 41" descr="Male profile with solid fill">
          <a:extLst>
            <a:ext uri="{FF2B5EF4-FFF2-40B4-BE49-F238E27FC236}">
              <a16:creationId xmlns:a16="http://schemas.microsoft.com/office/drawing/2014/main" id="{B206A68F-720D-240B-94C8-68E0B6F2CEA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80755" y="618311"/>
          <a:ext cx="213358" cy="213358"/>
        </a:xfrm>
        <a:prstGeom prst="rect">
          <a:avLst/>
        </a:prstGeom>
      </xdr:spPr>
    </xdr:pic>
    <xdr:clientData/>
  </xdr:twoCellAnchor>
  <xdr:twoCellAnchor editAs="oneCell">
    <xdr:from>
      <xdr:col>4</xdr:col>
      <xdr:colOff>478972</xdr:colOff>
      <xdr:row>3</xdr:row>
      <xdr:rowOff>82730</xdr:rowOff>
    </xdr:from>
    <xdr:to>
      <xdr:col>5</xdr:col>
      <xdr:colOff>52251</xdr:colOff>
      <xdr:row>4</xdr:row>
      <xdr:rowOff>82729</xdr:rowOff>
    </xdr:to>
    <xdr:pic>
      <xdr:nvPicPr>
        <xdr:cNvPr id="44" name="Graphic 43" descr="Hourglass Full with solid fill">
          <a:extLst>
            <a:ext uri="{FF2B5EF4-FFF2-40B4-BE49-F238E27FC236}">
              <a16:creationId xmlns:a16="http://schemas.microsoft.com/office/drawing/2014/main" id="{021717BE-B691-5CC1-2B79-B30400F55A5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17372" y="631370"/>
          <a:ext cx="182879" cy="182879"/>
        </a:xfrm>
        <a:prstGeom prst="rect">
          <a:avLst/>
        </a:prstGeom>
      </xdr:spPr>
    </xdr:pic>
    <xdr:clientData/>
  </xdr:twoCellAnchor>
  <xdr:twoCellAnchor editAs="oneCell">
    <xdr:from>
      <xdr:col>6</xdr:col>
      <xdr:colOff>391886</xdr:colOff>
      <xdr:row>3</xdr:row>
      <xdr:rowOff>77930</xdr:rowOff>
    </xdr:from>
    <xdr:to>
      <xdr:col>7</xdr:col>
      <xdr:colOff>13063</xdr:colOff>
      <xdr:row>4</xdr:row>
      <xdr:rowOff>125827</xdr:rowOff>
    </xdr:to>
    <xdr:pic>
      <xdr:nvPicPr>
        <xdr:cNvPr id="46" name="Graphic 45" descr="Rating with solid fill">
          <a:extLst>
            <a:ext uri="{FF2B5EF4-FFF2-40B4-BE49-F238E27FC236}">
              <a16:creationId xmlns:a16="http://schemas.microsoft.com/office/drawing/2014/main" id="{308E21DB-796A-7FFD-BFC6-88E3C3D88B0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49486" y="626570"/>
          <a:ext cx="230777" cy="230777"/>
        </a:xfrm>
        <a:prstGeom prst="rect">
          <a:avLst/>
        </a:prstGeom>
      </xdr:spPr>
    </xdr:pic>
    <xdr:clientData/>
  </xdr:twoCellAnchor>
  <xdr:twoCellAnchor editAs="oneCell">
    <xdr:from>
      <xdr:col>0</xdr:col>
      <xdr:colOff>74861</xdr:colOff>
      <xdr:row>3</xdr:row>
      <xdr:rowOff>82731</xdr:rowOff>
    </xdr:from>
    <xdr:to>
      <xdr:col>1</xdr:col>
      <xdr:colOff>87923</xdr:colOff>
      <xdr:row>15</xdr:row>
      <xdr:rowOff>69669</xdr:rowOff>
    </xdr:to>
    <mc:AlternateContent xmlns:mc="http://schemas.openxmlformats.org/markup-compatibility/2006" xmlns:a14="http://schemas.microsoft.com/office/drawing/2010/main">
      <mc:Choice Requires="a14">
        <xdr:graphicFrame macro="">
          <xdr:nvGraphicFramePr>
            <xdr:cNvPr id="47" name="Date (Month)">
              <a:extLst>
                <a:ext uri="{FF2B5EF4-FFF2-40B4-BE49-F238E27FC236}">
                  <a16:creationId xmlns:a16="http://schemas.microsoft.com/office/drawing/2014/main" id="{74AAD308-D3C2-4526-947B-D6E47E21695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74861" y="632838"/>
              <a:ext cx="624292" cy="2187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156755</xdr:colOff>
      <xdr:row>4</xdr:row>
      <xdr:rowOff>148045</xdr:rowOff>
    </xdr:from>
    <xdr:to>
      <xdr:col>3</xdr:col>
      <xdr:colOff>87087</xdr:colOff>
      <xdr:row>7</xdr:row>
      <xdr:rowOff>60961</xdr:rowOff>
    </xdr:to>
    <xdr:graphicFrame macro="">
      <xdr:nvGraphicFramePr>
        <xdr:cNvPr id="49" name="Chart 48">
          <a:hlinkClick xmlns:r="http://schemas.openxmlformats.org/officeDocument/2006/relationships" r:id="rId8"/>
          <a:extLst>
            <a:ext uri="{FF2B5EF4-FFF2-40B4-BE49-F238E27FC236}">
              <a16:creationId xmlns:a16="http://schemas.microsoft.com/office/drawing/2014/main" id="{C862FBE8-4FA4-1B06-F9E3-FF6D8C142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122480</xdr:colOff>
      <xdr:row>5</xdr:row>
      <xdr:rowOff>30481</xdr:rowOff>
    </xdr:from>
    <xdr:to>
      <xdr:col>5</xdr:col>
      <xdr:colOff>61520</xdr:colOff>
      <xdr:row>7</xdr:row>
      <xdr:rowOff>60956</xdr:rowOff>
    </xdr:to>
    <xdr:graphicFrame macro="">
      <xdr:nvGraphicFramePr>
        <xdr:cNvPr id="11" name="Chart 10">
          <a:hlinkClick xmlns:r="http://schemas.openxmlformats.org/officeDocument/2006/relationships" r:id="rId10"/>
          <a:extLst>
            <a:ext uri="{FF2B5EF4-FFF2-40B4-BE49-F238E27FC236}">
              <a16:creationId xmlns:a16="http://schemas.microsoft.com/office/drawing/2014/main" id="{EB87EF48-8601-43CF-9910-0823BA48D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39189</xdr:colOff>
      <xdr:row>7</xdr:row>
      <xdr:rowOff>152400</xdr:rowOff>
    </xdr:from>
    <xdr:to>
      <xdr:col>7</xdr:col>
      <xdr:colOff>39189</xdr:colOff>
      <xdr:row>13</xdr:row>
      <xdr:rowOff>139337</xdr:rowOff>
    </xdr:to>
    <xdr:cxnSp macro="">
      <xdr:nvCxnSpPr>
        <xdr:cNvPr id="13" name="Straight Connector 12">
          <a:extLst>
            <a:ext uri="{FF2B5EF4-FFF2-40B4-BE49-F238E27FC236}">
              <a16:creationId xmlns:a16="http://schemas.microsoft.com/office/drawing/2014/main" id="{38FB087F-3614-8FAA-2DFC-94503932F351}"/>
            </a:ext>
          </a:extLst>
        </xdr:cNvPr>
        <xdr:cNvCxnSpPr/>
      </xdr:nvCxnSpPr>
      <xdr:spPr>
        <a:xfrm>
          <a:off x="4306389" y="1432560"/>
          <a:ext cx="0" cy="1084217"/>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154844</xdr:colOff>
      <xdr:row>7</xdr:row>
      <xdr:rowOff>85572</xdr:rowOff>
    </xdr:from>
    <xdr:to>
      <xdr:col>7</xdr:col>
      <xdr:colOff>32598</xdr:colOff>
      <xdr:row>9</xdr:row>
      <xdr:rowOff>150770</xdr:rowOff>
    </xdr:to>
    <xdr:graphicFrame macro="">
      <xdr:nvGraphicFramePr>
        <xdr:cNvPr id="15" name="Chart 14">
          <a:extLst>
            <a:ext uri="{FF2B5EF4-FFF2-40B4-BE49-F238E27FC236}">
              <a16:creationId xmlns:a16="http://schemas.microsoft.com/office/drawing/2014/main" id="{42A4F490-0070-4A7F-B703-74581E819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183369</xdr:colOff>
      <xdr:row>7</xdr:row>
      <xdr:rowOff>114095</xdr:rowOff>
    </xdr:from>
    <xdr:to>
      <xdr:col>5</xdr:col>
      <xdr:colOff>61122</xdr:colOff>
      <xdr:row>9</xdr:row>
      <xdr:rowOff>142620</xdr:rowOff>
    </xdr:to>
    <xdr:sp macro="" textlink="">
      <xdr:nvSpPr>
        <xdr:cNvPr id="20" name="Rectangle: Rounded Corners 19">
          <a:extLst>
            <a:ext uri="{FF2B5EF4-FFF2-40B4-BE49-F238E27FC236}">
              <a16:creationId xmlns:a16="http://schemas.microsoft.com/office/drawing/2014/main" id="{3E8C8937-3CAF-7ECD-57B1-8993C32BB41B}"/>
            </a:ext>
          </a:extLst>
        </xdr:cNvPr>
        <xdr:cNvSpPr/>
      </xdr:nvSpPr>
      <xdr:spPr>
        <a:xfrm>
          <a:off x="794599" y="1397678"/>
          <a:ext cx="2322673" cy="395263"/>
        </a:xfrm>
        <a:prstGeom prst="roundRect">
          <a:avLst>
            <a:gd name="adj" fmla="val 5556"/>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xdr:col>
          <xdr:colOff>207818</xdr:colOff>
          <xdr:row>7</xdr:row>
          <xdr:rowOff>122245</xdr:rowOff>
        </xdr:from>
        <xdr:to>
          <xdr:col>5</xdr:col>
          <xdr:colOff>69272</xdr:colOff>
          <xdr:row>9</xdr:row>
          <xdr:rowOff>167068</xdr:rowOff>
        </xdr:to>
        <xdr:pic>
          <xdr:nvPicPr>
            <xdr:cNvPr id="21" name="Picture 20">
              <a:extLst>
                <a:ext uri="{FF2B5EF4-FFF2-40B4-BE49-F238E27FC236}">
                  <a16:creationId xmlns:a16="http://schemas.microsoft.com/office/drawing/2014/main" id="{EF187F9C-6C6C-FEC3-4670-0BD9B77A0269}"/>
                </a:ext>
              </a:extLst>
            </xdr:cNvPr>
            <xdr:cNvPicPr>
              <a:picLocks noChangeAspect="1" noChangeArrowheads="1"/>
              <a:extLst>
                <a:ext uri="{84589F7E-364E-4C9E-8A38-B11213B215E9}">
                  <a14:cameraTool cellRange="'Pivot Report'!$F$12:$H$14" spid="_x0000_s2133"/>
                </a:ext>
              </a:extLst>
            </xdr:cNvPicPr>
          </xdr:nvPicPr>
          <xdr:blipFill>
            <a:blip xmlns:r="http://schemas.openxmlformats.org/officeDocument/2006/relationships" r:embed="rId13"/>
            <a:srcRect/>
            <a:stretch>
              <a:fillRect/>
            </a:stretch>
          </xdr:blipFill>
          <xdr:spPr bwMode="auto">
            <a:xfrm>
              <a:off x="819048" y="1405828"/>
              <a:ext cx="2306374" cy="411561"/>
            </a:xfrm>
            <a:prstGeom prst="rect">
              <a:avLst/>
            </a:prstGeom>
            <a:solidFill>
              <a:schemeClr val="bg1"/>
            </a:solidFill>
          </xdr:spPr>
        </xdr:pic>
        <xdr:clientData/>
      </xdr:twoCellAnchor>
    </mc:Choice>
    <mc:Fallback/>
  </mc:AlternateContent>
  <xdr:twoCellAnchor>
    <xdr:from>
      <xdr:col>5</xdr:col>
      <xdr:colOff>114096</xdr:colOff>
      <xdr:row>5</xdr:row>
      <xdr:rowOff>48899</xdr:rowOff>
    </xdr:from>
    <xdr:to>
      <xdr:col>7</xdr:col>
      <xdr:colOff>52973</xdr:colOff>
      <xdr:row>7</xdr:row>
      <xdr:rowOff>48898</xdr:rowOff>
    </xdr:to>
    <xdr:graphicFrame macro="">
      <xdr:nvGraphicFramePr>
        <xdr:cNvPr id="3" name="Chart 2">
          <a:hlinkClick xmlns:r="http://schemas.openxmlformats.org/officeDocument/2006/relationships" r:id="rId14"/>
          <a:extLst>
            <a:ext uri="{FF2B5EF4-FFF2-40B4-BE49-F238E27FC236}">
              <a16:creationId xmlns:a16="http://schemas.microsoft.com/office/drawing/2014/main" id="{CDCB84BD-A090-49A0-90E0-DCBECB84C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126320</xdr:colOff>
      <xdr:row>10</xdr:row>
      <xdr:rowOff>4075</xdr:rowOff>
    </xdr:from>
    <xdr:to>
      <xdr:col>7</xdr:col>
      <xdr:colOff>24449</xdr:colOff>
      <xdr:row>14</xdr:row>
      <xdr:rowOff>122246</xdr:rowOff>
    </xdr:to>
    <xdr:graphicFrame macro="">
      <xdr:nvGraphicFramePr>
        <xdr:cNvPr id="14" name="Chart 13">
          <a:extLst>
            <a:ext uri="{FF2B5EF4-FFF2-40B4-BE49-F238E27FC236}">
              <a16:creationId xmlns:a16="http://schemas.microsoft.com/office/drawing/2014/main" id="{44519082-C292-4B61-AD6B-BDD253E02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97796</xdr:colOff>
      <xdr:row>0</xdr:row>
      <xdr:rowOff>65197</xdr:rowOff>
    </xdr:from>
    <xdr:to>
      <xdr:col>9</xdr:col>
      <xdr:colOff>126321</xdr:colOff>
      <xdr:row>7</xdr:row>
      <xdr:rowOff>0</xdr:rowOff>
    </xdr:to>
    <xdr:graphicFrame macro="">
      <xdr:nvGraphicFramePr>
        <xdr:cNvPr id="16" name="Chart 15">
          <a:extLst>
            <a:ext uri="{FF2B5EF4-FFF2-40B4-BE49-F238E27FC236}">
              <a16:creationId xmlns:a16="http://schemas.microsoft.com/office/drawing/2014/main" id="{9B0ADD85-2AA2-4C04-99B9-FE649ECE4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232267</xdr:colOff>
      <xdr:row>0</xdr:row>
      <xdr:rowOff>85573</xdr:rowOff>
    </xdr:from>
    <xdr:to>
      <xdr:col>11</xdr:col>
      <xdr:colOff>203744</xdr:colOff>
      <xdr:row>6</xdr:row>
      <xdr:rowOff>97797</xdr:rowOff>
    </xdr:to>
    <xdr:graphicFrame macro="">
      <xdr:nvGraphicFramePr>
        <xdr:cNvPr id="12" name="Chart 11">
          <a:extLst>
            <a:ext uri="{FF2B5EF4-FFF2-40B4-BE49-F238E27FC236}">
              <a16:creationId xmlns:a16="http://schemas.microsoft.com/office/drawing/2014/main" id="{91B12804-1B74-4720-B443-073087F22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9</xdr:col>
      <xdr:colOff>280118</xdr:colOff>
      <xdr:row>6</xdr:row>
      <xdr:rowOff>13018</xdr:rowOff>
    </xdr:from>
    <xdr:to>
      <xdr:col>11</xdr:col>
      <xdr:colOff>193034</xdr:colOff>
      <xdr:row>6</xdr:row>
      <xdr:rowOff>161553</xdr:rowOff>
    </xdr:to>
    <xdr:sp macro="" textlink="">
      <xdr:nvSpPr>
        <xdr:cNvPr id="17" name="TextBox 16">
          <a:extLst>
            <a:ext uri="{FF2B5EF4-FFF2-40B4-BE49-F238E27FC236}">
              <a16:creationId xmlns:a16="http://schemas.microsoft.com/office/drawing/2014/main" id="{E0D85D0D-9BCC-D486-D0BB-28272426E5A0}"/>
            </a:ext>
          </a:extLst>
        </xdr:cNvPr>
        <xdr:cNvSpPr txBox="1"/>
      </xdr:nvSpPr>
      <xdr:spPr>
        <a:xfrm>
          <a:off x="5781188" y="1113232"/>
          <a:ext cx="1135375" cy="148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No.</a:t>
          </a:r>
          <a:r>
            <a:rPr lang="en-IN" sz="800" kern="1200" baseline="0"/>
            <a:t> of patients by gender</a:t>
          </a:r>
        </a:p>
        <a:p>
          <a:pPr algn="ctr"/>
          <a:endParaRPr lang="en-IN" sz="800" kern="1200"/>
        </a:p>
      </xdr:txBody>
    </xdr:sp>
    <xdr:clientData/>
  </xdr:twoCellAnchor>
  <xdr:twoCellAnchor editAs="absolute">
    <xdr:from>
      <xdr:col>7</xdr:col>
      <xdr:colOff>186395</xdr:colOff>
      <xdr:row>6</xdr:row>
      <xdr:rowOff>25243</xdr:rowOff>
    </xdr:from>
    <xdr:to>
      <xdr:col>9</xdr:col>
      <xdr:colOff>99310</xdr:colOff>
      <xdr:row>6</xdr:row>
      <xdr:rowOff>173778</xdr:rowOff>
    </xdr:to>
    <xdr:sp macro="" textlink="">
      <xdr:nvSpPr>
        <xdr:cNvPr id="19" name="TextBox 18">
          <a:extLst>
            <a:ext uri="{FF2B5EF4-FFF2-40B4-BE49-F238E27FC236}">
              <a16:creationId xmlns:a16="http://schemas.microsoft.com/office/drawing/2014/main" id="{543A2E98-CE46-A34E-57A6-733994F7D83F}"/>
            </a:ext>
          </a:extLst>
        </xdr:cNvPr>
        <xdr:cNvSpPr txBox="1"/>
      </xdr:nvSpPr>
      <xdr:spPr>
        <a:xfrm>
          <a:off x="4465005" y="1125457"/>
          <a:ext cx="1135375" cy="148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Patient Attend</a:t>
          </a:r>
          <a:r>
            <a:rPr lang="en-IN" sz="800" kern="1200" baseline="0"/>
            <a:t> Time</a:t>
          </a:r>
        </a:p>
        <a:p>
          <a:pPr algn="ctr"/>
          <a:endParaRPr lang="en-IN" sz="800" kern="1200"/>
        </a:p>
      </xdr:txBody>
    </xdr:sp>
    <xdr:clientData/>
  </xdr:twoCellAnchor>
  <xdr:twoCellAnchor>
    <xdr:from>
      <xdr:col>7</xdr:col>
      <xdr:colOff>122245</xdr:colOff>
      <xdr:row>7</xdr:row>
      <xdr:rowOff>28523</xdr:rowOff>
    </xdr:from>
    <xdr:to>
      <xdr:col>11</xdr:col>
      <xdr:colOff>220043</xdr:colOff>
      <xdr:row>15</xdr:row>
      <xdr:rowOff>73346</xdr:rowOff>
    </xdr:to>
    <xdr:graphicFrame macro="">
      <xdr:nvGraphicFramePr>
        <xdr:cNvPr id="23" name="Chart 22">
          <a:extLst>
            <a:ext uri="{FF2B5EF4-FFF2-40B4-BE49-F238E27FC236}">
              <a16:creationId xmlns:a16="http://schemas.microsoft.com/office/drawing/2014/main" id="{D98761E3-8BFB-4CD9-BD92-7823CD77A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5</xdr:col>
      <xdr:colOff>300789</xdr:colOff>
      <xdr:row>0</xdr:row>
      <xdr:rowOff>140369</xdr:rowOff>
    </xdr:from>
    <xdr:to>
      <xdr:col>6</xdr:col>
      <xdr:colOff>586540</xdr:colOff>
      <xdr:row>2</xdr:row>
      <xdr:rowOff>96255</xdr:rowOff>
    </xdr:to>
    <mc:AlternateContent xmlns:mc="http://schemas.openxmlformats.org/markup-compatibility/2006" xmlns:a14="http://schemas.microsoft.com/office/drawing/2010/main">
      <mc:Choice Requires="a14">
        <xdr:graphicFrame macro="">
          <xdr:nvGraphicFramePr>
            <xdr:cNvPr id="18" name="Date (Year)">
              <a:extLst>
                <a:ext uri="{FF2B5EF4-FFF2-40B4-BE49-F238E27FC236}">
                  <a16:creationId xmlns:a16="http://schemas.microsoft.com/office/drawing/2014/main" id="{B540894B-8F62-43B5-A776-5A67A7E9768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348789" y="140369"/>
              <a:ext cx="914401" cy="324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123824</xdr:rowOff>
    </xdr:from>
    <xdr:to>
      <xdr:col>13</xdr:col>
      <xdr:colOff>452438</xdr:colOff>
      <xdr:row>14</xdr:row>
      <xdr:rowOff>14288</xdr:rowOff>
    </xdr:to>
    <xdr:graphicFrame macro="">
      <xdr:nvGraphicFramePr>
        <xdr:cNvPr id="2" name="Chart 1">
          <a:extLst>
            <a:ext uri="{FF2B5EF4-FFF2-40B4-BE49-F238E27FC236}">
              <a16:creationId xmlns:a16="http://schemas.microsoft.com/office/drawing/2014/main" id="{AAEE8FEB-0DE1-4333-B7E6-BAEAC1EE7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104775</xdr:rowOff>
    </xdr:from>
    <xdr:to>
      <xdr:col>0</xdr:col>
      <xdr:colOff>485775</xdr:colOff>
      <xdr:row>3</xdr:row>
      <xdr:rowOff>47625</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27EE5F53-3B2E-C57A-2B47-F30C61C2065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04775"/>
          <a:ext cx="485775" cy="4857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518160</xdr:colOff>
      <xdr:row>19</xdr:row>
      <xdr:rowOff>175260</xdr:rowOff>
    </xdr:to>
    <xdr:graphicFrame macro="">
      <xdr:nvGraphicFramePr>
        <xdr:cNvPr id="2" name="Chart 1">
          <a:extLst>
            <a:ext uri="{FF2B5EF4-FFF2-40B4-BE49-F238E27FC236}">
              <a16:creationId xmlns:a16="http://schemas.microsoft.com/office/drawing/2014/main" id="{FC11E6E1-40B3-469E-82E9-00A889BEC9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419100</xdr:colOff>
      <xdr:row>0</xdr:row>
      <xdr:rowOff>76200</xdr:rowOff>
    </xdr:from>
    <xdr:to>
      <xdr:col>1</xdr:col>
      <xdr:colOff>472440</xdr:colOff>
      <xdr:row>4</xdr:row>
      <xdr:rowOff>7620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3282C601-2BCA-8869-A78D-FD6BE53D1F8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38300" y="807720"/>
          <a:ext cx="662940" cy="6629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5256</xdr:rowOff>
    </xdr:from>
    <xdr:to>
      <xdr:col>15</xdr:col>
      <xdr:colOff>551738</xdr:colOff>
      <xdr:row>21</xdr:row>
      <xdr:rowOff>89338</xdr:rowOff>
    </xdr:to>
    <xdr:graphicFrame macro="">
      <xdr:nvGraphicFramePr>
        <xdr:cNvPr id="3" name="Chart 2">
          <a:hlinkClick xmlns:r="http://schemas.openxmlformats.org/officeDocument/2006/relationships" r:id="rId1"/>
          <a:extLst>
            <a:ext uri="{FF2B5EF4-FFF2-40B4-BE49-F238E27FC236}">
              <a16:creationId xmlns:a16="http://schemas.microsoft.com/office/drawing/2014/main" id="{1F79D10F-30C4-4B5E-8939-E58EF935C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esh Kumar" refreshedDate="46131.58989166667" createdVersion="5" refreshedVersion="8" minRefreshableVersion="3" recordCount="0" supportSubquery="1" supportAdvancedDrill="1" xr:uid="{0791E025-D0D0-46F6-9797-23DA917EF626}">
  <cacheSource type="external" connectionId="3"/>
  <cacheFields count="4">
    <cacheField name="[Calendar_Table].[Date (Month)].[Date (Month)]" caption="Date (Month)" numFmtId="0" hierarchy="1" level="1">
      <sharedItems count="1">
        <s v="Aug"/>
      </sharedItems>
    </cacheField>
    <cacheField name="[Calendar_Table].[Date].[Date]" caption="Date" numFmtId="0" level="1">
      <sharedItems containsSemiMixedTypes="0" containsNonDate="0" containsDate="1" containsString="0" minDate="2023-08-01T00:00:00" maxDate="2024-09-01T00:00:00" count="62">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sharedItems>
    </cacheField>
    <cacheField name="[Calendar_Table].[Date (Quarter)].[Date (Quarter)]" caption="Date (Quarter)" numFmtId="0" hierarchy="4" level="1">
      <sharedItems count="1">
        <s v="Qtr3"/>
      </sharedItems>
    </cacheField>
    <cacheField name="[Calendar_Table].[Date (Year)].[Date (Year)]" caption="Date (Year)" numFmtId="0" hierarchy="3" level="1">
      <sharedItems count="1">
        <s v="2023"/>
      </sharedItems>
    </cacheField>
  </cacheFields>
  <cacheHierarchies count="37">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esh Kumar" refreshedDate="46131.589892013886" createdVersion="5" refreshedVersion="8" minRefreshableVersion="3" recordCount="0" supportSubquery="1" supportAdvancedDrill="1" xr:uid="{0AA6E62F-DC73-4878-988E-2A361726DF0D}">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unt="1">
        <s v="Aug"/>
      </sharedItems>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esh Kumar" refreshedDate="46131.589892361109" createdVersion="5" refreshedVersion="8" minRefreshableVersion="3" recordCount="0" supportSubquery="1" supportAdvancedDrill="1" xr:uid="{9A630078-E430-4448-8F71-61CF295A6923}">
  <cacheSource type="external" connectionId="3"/>
  <cacheFields count="4">
    <cacheField name="[Calendar_Table].[Date (Month)].[Date (Month)]" caption="Date (Month)" numFmtId="0" hierarchy="1" level="1">
      <sharedItems containsSemiMixedTypes="0" containsNonDate="0" containsString="0"/>
    </cacheField>
    <cacheField name="[Measures].[Count of Department Referral]" caption="Count of Department Referral" numFmtId="0" hierarchy="36"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esh Kumar" refreshedDate="46131.589892824071" createdVersion="5" refreshedVersion="8" minRefreshableVersion="3" recordCount="0" supportSubquery="1" supportAdvancedDrill="1" xr:uid="{BB54E4EA-5971-4013-B7D1-898A93F1AC26}">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7" level="32767">
      <extLst>
        <ext xmlns:x14="http://schemas.microsoft.com/office/spreadsheetml/2009/9/main" uri="{63CAB8AC-B538-458d-9737-405883B0398D}">
          <x14:cacheField ignore="1"/>
        </ext>
      </extLst>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esh Kumar" refreshedDate="46131.589893171295" createdVersion="5" refreshedVersion="8" minRefreshableVersion="3" recordCount="0" supportSubquery="1" supportAdvancedDrill="1" xr:uid="{B426DE66-BEB9-4BB3-BE2B-13AC9947A881}">
  <cacheSource type="external" connectionId="3"/>
  <cacheFields count="4">
    <cacheField name="[Calendar_Table].[Date (Month)].[Date (Month)]" caption="Date (Month)" numFmtId="0" hierarchy="1" level="1">
      <sharedItems containsSemiMixedTypes="0" containsNonDate="0" containsString="0"/>
    </cacheField>
    <cacheField name="[Measures].[Count of Age Group]" caption="Count of Age Group" numFmtId="0" hierarchy="30" level="32767"/>
    <cacheField name="[Hospital Emergency Room Data].[Age Group].[Age Group]" caption="Age Group" numFmtId="0" hierarchy="16" level="1">
      <sharedItems count="8">
        <s v="0-09"/>
        <s v="10-19"/>
        <s v="20-29"/>
        <s v="30-39"/>
        <s v="40-49"/>
        <s v="50-59"/>
        <s v="60-69"/>
        <s v="70-79"/>
      </sharedItems>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esh Kumar" refreshedDate="46131.589893518518" createdVersion="5" refreshedVersion="8" minRefreshableVersion="3" recordCount="0" supportSubquery="1" supportAdvancedDrill="1" xr:uid="{74F05CBC-975F-4F7B-B383-4AAC5219826C}">
  <cacheSource type="external" connectionId="3"/>
  <cacheFields count="4">
    <cacheField name="[Calendar_Table].[Date (Month)].[Date (Month)]" caption="Date (Month)" numFmtId="0" hierarchy="1" level="1">
      <sharedItems containsSemiMixedTypes="0" containsNonDate="0" containsString="0"/>
    </cacheField>
    <cacheField name="[Calenda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Measures].[Count of Date]" caption="Count of Date" numFmtId="0" hierarchy="32"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ar_Table"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esh Kumar" refreshedDate="46131.589893865741" createdVersion="5" refreshedVersion="8" minRefreshableVersion="3" recordCount="0" supportSubquery="1" supportAdvancedDrill="1" xr:uid="{7F9536EE-73C4-4E62-98F5-A2E60FAF89A7}">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unt="1">
        <s v="Aug"/>
      </sharedItems>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esh Kumar" refreshedDate="46131.589894328703" createdVersion="5" refreshedVersion="8" minRefreshableVersion="3" recordCount="0" supportSubquery="1" supportAdvancedDrill="1" xr:uid="{8AEE3370-BC49-40A2-8687-67DADA00FBD7}">
  <cacheSource type="external" connectionId="3"/>
  <cacheFields count="4">
    <cacheField name="[Measures].[Average of Patient Satisfaction Score]" caption="Average of Patient Satisfaction Score" numFmtId="0" hierarchy="28" level="32767"/>
    <cacheField name="[Calendar_Table].[Date (Month)].[Date (Month)]" caption="Date (Month)" numFmtId="0" hierarchy="1" level="1">
      <sharedItems count="1">
        <s v="Aug"/>
      </sharedItems>
    </cacheField>
    <cacheField name="[Calenda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2"/>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esh Kumar" refreshedDate="46131.589894791665" createdVersion="5" refreshedVersion="8" minRefreshableVersion="3" recordCount="0" supportSubquery="1" supportAdvancedDrill="1" xr:uid="{95AC6C11-972D-4A1C-84DF-64437728687B}">
  <cacheSource type="external" connectionId="3"/>
  <cacheFields count="4">
    <cacheField name="[Calendar_Table].[Date (Month)].[Date (Month)]" caption="Date (Month)" numFmtId="0" hierarchy="1" level="1">
      <sharedItems containsSemiMixedTypes="0" containsNonDate="0" containsString="0"/>
    </cacheField>
    <cacheField name="[Measures].[Count of Patient Id]" caption="Count of Patient Id" numFmtId="0" hierarchy="23" level="32767"/>
    <cacheField name="[Calenda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2"/>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esh Kumar" refreshedDate="46131.589895023149" createdVersion="5" refreshedVersion="8" minRefreshableVersion="3" recordCount="0" supportSubquery="1" supportAdvancedDrill="1" xr:uid="{641807CF-15D1-4110-8AE1-F21E9327A18B}">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3"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esh Kumar" refreshedDate="46131.589895486111" createdVersion="5" refreshedVersion="8" minRefreshableVersion="3" recordCount="0" supportSubquery="1" supportAdvancedDrill="1" xr:uid="{BFEE55F7-1142-4DA8-BC1C-A47D3CF089A7}">
  <cacheSource type="external" connectionId="3"/>
  <cacheFields count="4">
    <cacheField name="[Calendar_Table].[Date (Month)].[Date (Month)]" caption="Date (Month)" numFmtId="0" hierarchy="1" level="1">
      <sharedItems containsSemiMixedTypes="0" containsNonDate="0" containsString="0"/>
    </cacheField>
    <cacheField name="[Measures].[Count of Patient Gender]" caption="Count of Patient Gender" numFmtId="0" hierarchy="35"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esh Kumar" refreshedDate="45814.729459490743" createdVersion="3" refreshedVersion="8" minRefreshableVersion="3" recordCount="0" supportSubquery="1" supportAdvancedDrill="1" xr:uid="{CAEF71B4-835B-45BF-8C43-5D7C078D9F42}">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2858082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E25ADB-ECCF-4A83-A757-3D63F28786E3}" name="PivotTable7" cacheId="619" applyNumberFormats="0" applyBorderFormats="0" applyFontFormats="0" applyPatternFormats="0" applyAlignmentFormats="0" applyWidthHeightFormats="1" dataCaption="Values" tag="20cd190e-e922-451a-a57f-4be6a52e2f94" updatedVersion="8" minRefreshableVersion="3" subtotalHiddenItems="1" itemPrintTitles="1" createdVersion="5" indent="0" outline="1" outlineData="1" multipleFieldFilters="0" chartFormat="234">
  <location ref="D4:E3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1" subtotal="count" baseField="0" baseItem="0"/>
  </dataFields>
  <chartFormats count="2">
    <chartFormat chart="9" format="7"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221A9B-71A0-4FE1-A67A-ED93285A1721}" name="PivotTable8" cacheId="622" applyNumberFormats="0" applyBorderFormats="0" applyFontFormats="0" applyPatternFormats="0" applyAlignmentFormats="0" applyWidthHeightFormats="1" dataCaption="Values" tag="898ea7a6-479d-47fd-bfb2-dc4fc80f612a" updatedVersion="8" minRefreshableVersion="3" subtotalHiddenItems="1" itemPrintTitles="1" createdVersion="5" indent="0" outline="1" outlineData="1" multipleFieldFilters="0" chartFormat="19">
  <location ref="K41:L4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8">
    <format dxfId="1123">
      <pivotArea type="all" dataOnly="0" outline="0" fieldPosition="0"/>
    </format>
    <format dxfId="1122">
      <pivotArea outline="0" collapsedLevelsAreSubtotals="1" fieldPosition="0"/>
    </format>
    <format dxfId="1121">
      <pivotArea dataOnly="0" labelOnly="1" grandRow="1" outline="0" fieldPosition="0"/>
    </format>
    <format dxfId="1120">
      <pivotArea dataOnly="0" labelOnly="1" outline="0" axis="axisValues" fieldPosition="0"/>
    </format>
    <format dxfId="1119">
      <pivotArea type="all" dataOnly="0" outline="0" fieldPosition="0"/>
    </format>
    <format dxfId="1118">
      <pivotArea outline="0" collapsedLevelsAreSubtotals="1" fieldPosition="0"/>
    </format>
    <format dxfId="1117">
      <pivotArea dataOnly="0" labelOnly="1" grandRow="1" outline="0" fieldPosition="0"/>
    </format>
    <format dxfId="1116">
      <pivotArea dataOnly="0" labelOnly="1" outline="0" axis="axisValues" fieldPosition="0"/>
    </format>
  </formats>
  <chartFormats count="9">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1" count="1" selected="0">
            <x v="0"/>
          </reference>
        </references>
      </pivotArea>
    </chartFormat>
    <chartFormat chart="13" format="3">
      <pivotArea type="data" outline="0" fieldPosition="0">
        <references count="2">
          <reference field="4294967294" count="1" selected="0">
            <x v="0"/>
          </reference>
          <reference field="1"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B96295-E611-466D-9C26-A285BF5D9261}" name="PivotTable4" cacheId="610" applyNumberFormats="0" applyBorderFormats="0" applyFontFormats="0" applyPatternFormats="0" applyAlignmentFormats="0" applyWidthHeightFormats="1" dataCaption="Values" tag="898ea7a6-479d-47fd-bfb2-dc4fc80f612a" updatedVersion="8" minRefreshableVersion="3" subtotalHiddenItems="1" itemPrintTitles="1" createdVersion="5" indent="0" outline="1" outlineData="1" multipleFieldFilters="0" chartFormat="11">
  <location ref="Q8:R4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Date" fld="2" subtotal="count" baseField="0" baseItem="0"/>
  </dataFields>
  <formats count="8">
    <format dxfId="1131">
      <pivotArea type="all" dataOnly="0" outline="0" fieldPosition="0"/>
    </format>
    <format dxfId="1130">
      <pivotArea outline="0" collapsedLevelsAreSubtotals="1" fieldPosition="0"/>
    </format>
    <format dxfId="1129">
      <pivotArea dataOnly="0" labelOnly="1" grandRow="1" outline="0" fieldPosition="0"/>
    </format>
    <format dxfId="1128">
      <pivotArea dataOnly="0" labelOnly="1" outline="0" axis="axisValues" fieldPosition="0"/>
    </format>
    <format dxfId="1127">
      <pivotArea type="all" dataOnly="0" outline="0" fieldPosition="0"/>
    </format>
    <format dxfId="1126">
      <pivotArea outline="0" collapsedLevelsAreSubtotals="1" fieldPosition="0"/>
    </format>
    <format dxfId="1125">
      <pivotArea dataOnly="0" labelOnly="1" grandRow="1" outline="0" fieldPosition="0"/>
    </format>
    <format dxfId="1124">
      <pivotArea dataOnly="0" labelOnly="1" outline="0" axis="axisValues" fieldPosition="0"/>
    </format>
  </formats>
  <pivotHierarchies count="37">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67C63F-F1B4-4C04-9DE3-0A6C940237F8}" name="PivotTable5" cacheId="613" applyNumberFormats="0" applyBorderFormats="0" applyFontFormats="0" applyPatternFormats="0" applyAlignmentFormats="0" applyWidthHeightFormats="1" dataCaption="Values" tag="77f8ca82-0986-4cb8-a2f1-0a1d45c590fc" updatedVersion="8" minRefreshableVersion="3" subtotalHiddenItems="1" itemPrintTitles="1" createdVersion="5" indent="0" outline="1" outlineData="1" multipleFieldFilters="0">
  <location ref="A8:C10" firstHeaderRow="1" firstDataRow="2" firstDataCol="1"/>
  <pivotFields count="3">
    <pivotField dataField="1" subtotalTop="0" showAll="0" defaultSubtotal="0"/>
    <pivotField axis="axisCol" allDrilled="1" subtotalTop="0" showAll="0" dataSourceSort="1" defaultSubtotal="0" defaultAttributeDrillState="1">
      <items count="1">
        <item s="1" x="0"/>
      </items>
    </pivotField>
    <pivotField allDrilled="1" subtotalTop="0" showAll="0" dataSourceSort="1" defaultSubtotal="0" defaultAttributeDrillState="1"/>
  </pivotFields>
  <rowItems count="1">
    <i/>
  </rowItems>
  <colFields count="1">
    <field x="1"/>
  </colFields>
  <colItems count="2">
    <i>
      <x/>
    </i>
    <i t="grand">
      <x/>
    </i>
  </colItems>
  <dataFields count="1">
    <dataField name="Average of Patient Waittime" fld="0" subtotal="average" baseField="0" baseItem="0" numFmtId="2"/>
  </dataFields>
  <formats count="1">
    <format dxfId="1132">
      <pivotArea outline="0" collapsedLevelsAreSubtotals="1" fieldPosition="0"/>
    </format>
  </formats>
  <pivotHierarchies count="37">
    <pivotHierarchy dragToData="1"/>
    <pivotHierarchy multipleItemSelectionAllowed="1" dragToData="1"/>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A32986-6F50-4C2F-B371-E04B46B7E03B}" name="PivotTable11" cacheId="595" applyNumberFormats="0" applyBorderFormats="0" applyFontFormats="0" applyPatternFormats="0" applyAlignmentFormats="0" applyWidthHeightFormats="1" dataCaption="Values" tag="898ea7a6-479d-47fd-bfb2-dc4fc80f612a" updatedVersion="8" minRefreshableVersion="3" subtotalHiddenItems="1" itemPrintTitles="1" createdVersion="5" indent="0" outline="1" outlineData="1" multipleFieldFilters="0" chartFormat="48">
  <location ref="D48:D50"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8">
    <format dxfId="1140">
      <pivotArea type="all" dataOnly="0" outline="0" fieldPosition="0"/>
    </format>
    <format dxfId="1139">
      <pivotArea outline="0" collapsedLevelsAreSubtotals="1" fieldPosition="0"/>
    </format>
    <format dxfId="1138">
      <pivotArea dataOnly="0" labelOnly="1" grandRow="1" outline="0" fieldPosition="0"/>
    </format>
    <format dxfId="1137">
      <pivotArea dataOnly="0" labelOnly="1" outline="0" axis="axisValues" fieldPosition="0"/>
    </format>
    <format dxfId="1136">
      <pivotArea type="all" dataOnly="0" outline="0" fieldPosition="0"/>
    </format>
    <format dxfId="1135">
      <pivotArea outline="0" collapsedLevelsAreSubtotals="1" fieldPosition="0"/>
    </format>
    <format dxfId="1134">
      <pivotArea dataOnly="0" labelOnly="1" grandRow="1" outline="0" fieldPosition="0"/>
    </format>
    <format dxfId="1133">
      <pivotArea dataOnly="0" labelOnly="1" outline="0" axis="axisValues" fieldPosition="0"/>
    </format>
  </format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15FD76-4588-412D-8D64-A9196CD5A44D}" name="PivotTable1" cacheId="598" applyNumberFormats="0" applyBorderFormats="0" applyFontFormats="0" applyPatternFormats="0" applyAlignmentFormats="0" applyWidthHeightFormats="1" dataCaption="Values" tag="898ea7a6-479d-47fd-bfb2-dc4fc80f612a" updatedVersion="8" minRefreshableVersion="3" subtotalHiddenItems="1" itemPrintTitles="1" createdVersion="5" indent="0" outline="1" outlineData="1" multipleFieldFilters="0" chartFormat="1">
  <location ref="A4:B6"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1F07D8-E858-459D-9680-D0D01ADC4DC5}" name="PivotTable2" cacheId="604"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17">
  <location ref="F6:H9"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Col" baseField="0" baseItem="0" numFmtId="10">
      <extLst>
        <ext xmlns:x14="http://schemas.microsoft.com/office/spreadsheetml/2009/9/main" uri="{E15A36E0-9728-4e99-A89B-3F7291B0FE68}">
          <x14:dataField sourceField="1" uniqueName="[__Xl2].[Measures].[Count of Patient Admission Flag]"/>
        </ext>
      </extLst>
    </dataField>
  </dataFields>
  <formats count="8">
    <format dxfId="1148">
      <pivotArea outline="0" collapsedLevelsAreSubtotals="1" fieldPosition="0"/>
    </format>
    <format dxfId="1147">
      <pivotArea outline="0" fieldPosition="0">
        <references count="1">
          <reference field="4294967294" count="1">
            <x v="1"/>
          </reference>
        </references>
      </pivotArea>
    </format>
    <format dxfId="1146">
      <pivotArea type="all" dataOnly="0" outline="0" fieldPosition="0"/>
    </format>
    <format dxfId="1145">
      <pivotArea outline="0" collapsedLevelsAreSubtotals="1" fieldPosition="0"/>
    </format>
    <format dxfId="1144">
      <pivotArea field="2" type="button" dataOnly="0" labelOnly="1" outline="0" axis="axisRow" fieldPosition="0"/>
    </format>
    <format dxfId="1143">
      <pivotArea dataOnly="0" labelOnly="1" fieldPosition="0">
        <references count="1">
          <reference field="2" count="0"/>
        </references>
      </pivotArea>
    </format>
    <format dxfId="1142">
      <pivotArea dataOnly="0" labelOnly="1" grandRow="1" outline="0" fieldPosition="0"/>
    </format>
    <format dxfId="1141">
      <pivotArea dataOnly="0" labelOnly="1"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1" format="6">
      <pivotArea type="data" outline="0" fieldPosition="0">
        <references count="2">
          <reference field="4294967294" count="1" selected="0">
            <x v="0"/>
          </reference>
          <reference field="2" count="1" selected="0">
            <x v="1"/>
          </reference>
        </references>
      </pivotArea>
    </chartFormat>
    <chartFormat chart="11" format="7">
      <pivotArea type="data" outline="0" fieldPosition="0">
        <references count="2">
          <reference field="4294967294" count="1" selected="0">
            <x v="0"/>
          </reference>
          <reference field="2" count="1" selected="0">
            <x v="0"/>
          </reference>
        </references>
      </pivotArea>
    </chartFormat>
  </chartFormats>
  <pivotHierarchies count="38">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EC6FCC-0239-4066-BAB4-5A605988FD9C}" name="PivotTable9" cacheId="625" applyNumberFormats="0" applyBorderFormats="0" applyFontFormats="0" applyPatternFormats="0" applyAlignmentFormats="0" applyWidthHeightFormats="1" dataCaption="Values" tag="898ea7a6-479d-47fd-bfb2-dc4fc80f612a" updatedVersion="8" minRefreshableVersion="3" subtotalHiddenItems="1" itemPrintTitles="1" createdVersion="5" indent="0" outline="1" outlineData="1" multipleFieldFilters="0" chartFormat="25">
  <location ref="G41:H4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8">
    <format dxfId="1156">
      <pivotArea type="all" dataOnly="0" outline="0" fieldPosition="0"/>
    </format>
    <format dxfId="1155">
      <pivotArea outline="0" collapsedLevelsAreSubtotals="1" fieldPosition="0"/>
    </format>
    <format dxfId="1154">
      <pivotArea dataOnly="0" labelOnly="1" grandRow="1" outline="0" fieldPosition="0"/>
    </format>
    <format dxfId="1153">
      <pivotArea dataOnly="0" labelOnly="1" outline="0" axis="axisValues" fieldPosition="0"/>
    </format>
    <format dxfId="1152">
      <pivotArea type="all" dataOnly="0" outline="0" fieldPosition="0"/>
    </format>
    <format dxfId="1151">
      <pivotArea outline="0" collapsedLevelsAreSubtotals="1" fieldPosition="0"/>
    </format>
    <format dxfId="1150">
      <pivotArea dataOnly="0" labelOnly="1" grandRow="1" outline="0" fieldPosition="0"/>
    </format>
    <format dxfId="1149">
      <pivotArea dataOnly="0" labelOnly="1" outline="0" axis="axisValues" fieldPosition="0"/>
    </format>
  </formats>
  <chartFormats count="3">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2" count="1" selected="0">
            <x v="0"/>
          </reference>
        </references>
      </pivotArea>
    </chartFormat>
    <chartFormat chart="20" format="6">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34E52B-604D-479D-B624-AC1EF8CA9B14}" name="PivotTable6" cacheId="616"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13">
  <location ref="A11:B44" firstHeaderRow="1" firstDataRow="1" firstDataCol="1"/>
  <pivotFields count="4">
    <pivotField dataField="1" subtotalTop="0" showAll="0" defaultSubtotal="0"/>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2">
    <field x="1"/>
    <field x="2"/>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Average of Patient Satisfaction Score" fld="0" subtotal="average" baseField="0" baseItem="0"/>
  </dataFields>
  <formats count="1">
    <format dxfId="1157">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281866-3E8B-4BA6-B975-2FD1FFA379A5}" name="PivotTable10" cacheId="601" applyNumberFormats="0" applyBorderFormats="0" applyFontFormats="0" applyPatternFormats="0" applyAlignmentFormats="0" applyWidthHeightFormats="1" dataCaption="Values" tag="898ea7a6-479d-47fd-bfb2-dc4fc80f612a" updatedVersion="8" minRefreshableVersion="3" subtotalHiddenItems="1" itemPrintTitles="1" createdVersion="5" indent="0" outline="1" outlineData="1" multipleFieldFilters="0" chartFormat="48">
  <location ref="G50:H59"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Department Referral" fld="1" subtotal="count" baseField="0" baseItem="0"/>
  </dataFields>
  <formats count="8">
    <format dxfId="1165">
      <pivotArea type="all" dataOnly="0" outline="0" fieldPosition="0"/>
    </format>
    <format dxfId="1164">
      <pivotArea outline="0" collapsedLevelsAreSubtotals="1" fieldPosition="0"/>
    </format>
    <format dxfId="1163">
      <pivotArea dataOnly="0" labelOnly="1" grandRow="1" outline="0" fieldPosition="0"/>
    </format>
    <format dxfId="1162">
      <pivotArea dataOnly="0" labelOnly="1" outline="0" axis="axisValues" fieldPosition="0"/>
    </format>
    <format dxfId="1161">
      <pivotArea type="all" dataOnly="0" outline="0" fieldPosition="0"/>
    </format>
    <format dxfId="1160">
      <pivotArea outline="0" collapsedLevelsAreSubtotals="1" fieldPosition="0"/>
    </format>
    <format dxfId="1159">
      <pivotArea dataOnly="0" labelOnly="1" grandRow="1" outline="0" fieldPosition="0"/>
    </format>
    <format dxfId="1158">
      <pivotArea dataOnly="0" labelOnly="1" outline="0" axis="axisValues" fieldPosition="0"/>
    </format>
  </formats>
  <chartFormats count="13">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2">
          <reference field="4294967294" count="1" selected="0">
            <x v="0"/>
          </reference>
          <reference field="2" count="1" selected="0">
            <x v="1"/>
          </reference>
        </references>
      </pivotArea>
    </chartFormat>
    <chartFormat chart="24" format="2" series="1">
      <pivotArea type="data" outline="0" fieldPosition="0">
        <references count="2">
          <reference field="4294967294" count="1" selected="0">
            <x v="0"/>
          </reference>
          <reference field="2" count="1" selected="0">
            <x v="2"/>
          </reference>
        </references>
      </pivotArea>
    </chartFormat>
    <chartFormat chart="24" format="3" series="1">
      <pivotArea type="data" outline="0" fieldPosition="0">
        <references count="2">
          <reference field="4294967294" count="1" selected="0">
            <x v="0"/>
          </reference>
          <reference field="2" count="1" selected="0">
            <x v="3"/>
          </reference>
        </references>
      </pivotArea>
    </chartFormat>
    <chartFormat chart="24" format="4" series="1">
      <pivotArea type="data" outline="0" fieldPosition="0">
        <references count="2">
          <reference field="4294967294" count="1" selected="0">
            <x v="0"/>
          </reference>
          <reference field="2" count="1" selected="0">
            <x v="4"/>
          </reference>
        </references>
      </pivotArea>
    </chartFormat>
    <chartFormat chart="24" format="5" series="1">
      <pivotArea type="data" outline="0" fieldPosition="0">
        <references count="2">
          <reference field="4294967294" count="1" selected="0">
            <x v="0"/>
          </reference>
          <reference field="2" count="1" selected="0">
            <x v="5"/>
          </reference>
        </references>
      </pivotArea>
    </chartFormat>
    <chartFormat chart="24" format="6" series="1">
      <pivotArea type="data" outline="0" fieldPosition="0">
        <references count="2">
          <reference field="4294967294" count="1" selected="0">
            <x v="0"/>
          </reference>
          <reference field="2" count="1" selected="0">
            <x v="6"/>
          </reference>
        </references>
      </pivotArea>
    </chartFormat>
    <chartFormat chart="24" format="7" series="1">
      <pivotArea type="data" outline="0" fieldPosition="0">
        <references count="2">
          <reference field="4294967294" count="1" selected="0">
            <x v="0"/>
          </reference>
          <reference field="2" count="1" selected="0">
            <x v="7"/>
          </reference>
        </references>
      </pivotArea>
    </chartFormat>
    <chartFormat chart="30"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45C5F4-6645-4B4F-A0DB-D525796EC93A}" name="PivotTable3" cacheId="607" applyNumberFormats="0" applyBorderFormats="0" applyFontFormats="0" applyPatternFormats="0" applyAlignmentFormats="0" applyWidthHeightFormats="1" dataCaption="Values" tag="898ea7a6-479d-47fd-bfb2-dc4fc80f612a" updatedVersion="8" minRefreshableVersion="3" subtotalHiddenItems="1" itemPrintTitles="1" createdVersion="5" indent="0" outline="1" outlineData="1" multipleFieldFilters="0" chartFormat="11">
  <location ref="L6:M1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12">
    <format dxfId="1177">
      <pivotArea type="all" dataOnly="0" outline="0" fieldPosition="0"/>
    </format>
    <format dxfId="1176">
      <pivotArea outline="0" collapsedLevelsAreSubtotals="1" fieldPosition="0"/>
    </format>
    <format dxfId="1175">
      <pivotArea field="2" type="button" dataOnly="0" labelOnly="1" outline="0" axis="axisRow" fieldPosition="0"/>
    </format>
    <format dxfId="1174">
      <pivotArea dataOnly="0" labelOnly="1" fieldPosition="0">
        <references count="1">
          <reference field="2" count="0"/>
        </references>
      </pivotArea>
    </format>
    <format dxfId="1173">
      <pivotArea dataOnly="0" labelOnly="1" grandRow="1" outline="0" fieldPosition="0"/>
    </format>
    <format dxfId="1172">
      <pivotArea dataOnly="0" labelOnly="1" outline="0" axis="axisValues" fieldPosition="0"/>
    </format>
    <format dxfId="1171">
      <pivotArea type="all" dataOnly="0" outline="0" fieldPosition="0"/>
    </format>
    <format dxfId="1170">
      <pivotArea outline="0" collapsedLevelsAreSubtotals="1" fieldPosition="0"/>
    </format>
    <format dxfId="1169">
      <pivotArea field="2" type="button" dataOnly="0" labelOnly="1" outline="0" axis="axisRow" fieldPosition="0"/>
    </format>
    <format dxfId="1168">
      <pivotArea dataOnly="0" labelOnly="1" fieldPosition="0">
        <references count="1">
          <reference field="2" count="0"/>
        </references>
      </pivotArea>
    </format>
    <format dxfId="1167">
      <pivotArea dataOnly="0" labelOnly="1" grandRow="1" outline="0" fieldPosition="0"/>
    </format>
    <format dxfId="1166">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E1A5130-4A4F-4345-98FC-115D39C7A4E0}" sourceName="[Calendar_Table].[Date (Month)]">
  <pivotTables>
    <pivotTable tabId="1" name="PivotTable7"/>
    <pivotTable tabId="1" name="PivotTable1"/>
    <pivotTable tabId="1" name="PivotTable5"/>
    <pivotTable tabId="1" name="PivotTable6"/>
    <pivotTable tabId="1" name="PivotTable2"/>
    <pivotTable tabId="1" name="PivotTable3"/>
    <pivotTable tabId="1" name="PivotTable4"/>
    <pivotTable tabId="1" name="PivotTable8"/>
    <pivotTable tabId="1" name="PivotTable9"/>
    <pivotTable tabId="1" name="PivotTable10"/>
    <pivotTable tabId="1" name="PivotTable11"/>
  </pivotTables>
  <data>
    <olap pivotCacheId="1285808228">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84F8B54-5EE9-4291-80B0-6F583E135F9A}" sourceName="[Calendar_Table].[Date (Year)]">
  <pivotTables>
    <pivotTable tabId="1" name="PivotTable11"/>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285808228">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72B043A-707C-4C26-872C-BB5E4BE29520}" cache="Slicer_Date__Month" caption="Date (Month)" showCaption="0" level="1" style="My Style" rowHeight="140400"/>
  <slicer name="Date (Year)" xr10:uid="{95B48DF4-E0D6-4676-95AC-8D7E4ECCA1D7}" cache="Slicer_Date__Year" caption="Date (Year)" columnCount="2" showCaption="0" level="1" style="My Style"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EF579-3985-4135-ACC4-8C194A12018F}">
  <dimension ref="A1:R59"/>
  <sheetViews>
    <sheetView topLeftCell="B28" zoomScale="85" zoomScaleNormal="85" workbookViewId="0">
      <selection activeCell="D48" sqref="D48"/>
    </sheetView>
  </sheetViews>
  <sheetFormatPr defaultRowHeight="14.4" x14ac:dyDescent="0.3"/>
  <cols>
    <col min="1" max="1" width="23.5546875" bestFit="1" customWidth="1"/>
    <col min="2" max="2" width="24.33203125" bestFit="1" customWidth="1"/>
    <col min="3" max="3" width="25.6640625" customWidth="1"/>
    <col min="4" max="4" width="23.5546875" bestFit="1" customWidth="1"/>
    <col min="5" max="5" width="28" bestFit="1" customWidth="1"/>
    <col min="6" max="6" width="15" bestFit="1" customWidth="1"/>
    <col min="7" max="7" width="16.6640625" customWidth="1"/>
    <col min="8" max="8" width="20.88671875" customWidth="1"/>
    <col min="9" max="9" width="11.109375" customWidth="1"/>
    <col min="11" max="12" width="12.44140625" bestFit="1" customWidth="1"/>
    <col min="13" max="13" width="23.33203125" bestFit="1" customWidth="1"/>
  </cols>
  <sheetData>
    <row r="1" spans="1:18" x14ac:dyDescent="0.3">
      <c r="K1" s="9"/>
      <c r="L1" s="10"/>
      <c r="M1" s="10"/>
    </row>
    <row r="2" spans="1:18" x14ac:dyDescent="0.3">
      <c r="K2" s="10"/>
      <c r="L2" s="10"/>
      <c r="M2" s="11"/>
    </row>
    <row r="3" spans="1:18" x14ac:dyDescent="0.3">
      <c r="A3" t="s">
        <v>0</v>
      </c>
      <c r="D3" t="s">
        <v>1</v>
      </c>
      <c r="H3" s="9"/>
      <c r="I3" s="10"/>
      <c r="J3" s="10"/>
      <c r="K3" s="10"/>
      <c r="L3" s="10"/>
      <c r="M3" s="11"/>
    </row>
    <row r="4" spans="1:18" x14ac:dyDescent="0.3">
      <c r="A4" s="1" t="s">
        <v>2</v>
      </c>
      <c r="B4" t="s">
        <v>3</v>
      </c>
      <c r="D4" s="1" t="s">
        <v>2</v>
      </c>
      <c r="E4" t="s">
        <v>4</v>
      </c>
      <c r="H4" s="10"/>
      <c r="I4" s="10"/>
      <c r="J4" s="11"/>
      <c r="K4" s="20"/>
      <c r="L4" s="20"/>
      <c r="M4" s="20"/>
      <c r="N4" s="20"/>
      <c r="O4" s="20"/>
      <c r="P4" s="20"/>
    </row>
    <row r="5" spans="1:18" x14ac:dyDescent="0.3">
      <c r="A5" s="4" t="s">
        <v>78</v>
      </c>
      <c r="B5" s="22">
        <v>494</v>
      </c>
      <c r="D5" s="4" t="s">
        <v>47</v>
      </c>
      <c r="E5" s="22">
        <v>14</v>
      </c>
      <c r="F5" s="10"/>
      <c r="G5" s="10"/>
      <c r="H5" s="10"/>
      <c r="I5" s="10"/>
      <c r="J5" s="11"/>
      <c r="K5" s="20"/>
      <c r="L5" s="20" t="s">
        <v>5</v>
      </c>
      <c r="M5" s="20"/>
      <c r="N5" s="20"/>
      <c r="O5" s="20"/>
      <c r="P5" s="20"/>
    </row>
    <row r="6" spans="1:18" x14ac:dyDescent="0.3">
      <c r="A6" s="4" t="s">
        <v>6</v>
      </c>
      <c r="B6" s="22">
        <v>494</v>
      </c>
      <c r="D6" s="4" t="s">
        <v>48</v>
      </c>
      <c r="E6" s="22">
        <v>15</v>
      </c>
      <c r="F6" s="10" t="s">
        <v>2</v>
      </c>
      <c r="G6" s="10" t="s">
        <v>7</v>
      </c>
      <c r="H6" s="10" t="s">
        <v>8</v>
      </c>
      <c r="I6" s="10"/>
      <c r="K6" s="20"/>
      <c r="L6" s="20" t="s">
        <v>2</v>
      </c>
      <c r="M6" s="20" t="s">
        <v>9</v>
      </c>
      <c r="N6" s="20"/>
      <c r="O6" s="20"/>
      <c r="P6" s="20"/>
    </row>
    <row r="7" spans="1:18" x14ac:dyDescent="0.3">
      <c r="D7" s="4" t="s">
        <v>49</v>
      </c>
      <c r="E7" s="22">
        <v>17</v>
      </c>
      <c r="F7" s="9" t="s">
        <v>10</v>
      </c>
      <c r="G7" s="12">
        <v>234</v>
      </c>
      <c r="H7" s="13">
        <v>0.47368421052631576</v>
      </c>
      <c r="I7" s="10"/>
      <c r="K7" s="20"/>
      <c r="L7" s="21" t="s">
        <v>11</v>
      </c>
      <c r="M7" s="23">
        <v>70</v>
      </c>
      <c r="N7" s="20"/>
      <c r="O7" s="20"/>
      <c r="P7" s="20"/>
    </row>
    <row r="8" spans="1:18" x14ac:dyDescent="0.3">
      <c r="B8" s="1" t="s">
        <v>12</v>
      </c>
      <c r="D8" s="4" t="s">
        <v>50</v>
      </c>
      <c r="E8" s="22">
        <v>12</v>
      </c>
      <c r="F8" s="9" t="s">
        <v>13</v>
      </c>
      <c r="G8" s="12">
        <v>260</v>
      </c>
      <c r="H8" s="13">
        <v>0.52631578947368418</v>
      </c>
      <c r="I8" s="10"/>
      <c r="K8" s="20"/>
      <c r="L8" s="21" t="s">
        <v>14</v>
      </c>
      <c r="M8" s="23">
        <v>73</v>
      </c>
      <c r="N8" s="20"/>
      <c r="O8" s="20"/>
      <c r="P8" s="20"/>
      <c r="Q8" s="20" t="s">
        <v>2</v>
      </c>
      <c r="R8" s="20" t="s">
        <v>15</v>
      </c>
    </row>
    <row r="9" spans="1:18" x14ac:dyDescent="0.3">
      <c r="B9" t="s">
        <v>78</v>
      </c>
      <c r="C9" t="s">
        <v>6</v>
      </c>
      <c r="D9" s="4" t="s">
        <v>51</v>
      </c>
      <c r="E9" s="22">
        <v>23</v>
      </c>
      <c r="F9" s="9" t="s">
        <v>6</v>
      </c>
      <c r="G9" s="12">
        <v>494</v>
      </c>
      <c r="H9" s="13">
        <v>1</v>
      </c>
      <c r="I9" s="10"/>
      <c r="K9" s="20"/>
      <c r="L9" s="21" t="s">
        <v>16</v>
      </c>
      <c r="M9" s="23">
        <v>58</v>
      </c>
      <c r="N9" s="20"/>
      <c r="O9" s="20"/>
      <c r="P9" s="20"/>
      <c r="Q9" s="21" t="s">
        <v>47</v>
      </c>
      <c r="R9" s="23">
        <v>1</v>
      </c>
    </row>
    <row r="10" spans="1:18" ht="40.200000000000003" customHeight="1" x14ac:dyDescent="0.3">
      <c r="A10" t="s">
        <v>17</v>
      </c>
      <c r="B10" s="2">
        <v>36.392712550607285</v>
      </c>
      <c r="C10" s="2">
        <v>36.392712550607285</v>
      </c>
      <c r="D10" s="4" t="s">
        <v>52</v>
      </c>
      <c r="E10" s="22">
        <v>10</v>
      </c>
      <c r="F10" s="10"/>
      <c r="G10" s="10"/>
      <c r="H10" s="10"/>
      <c r="I10" s="10"/>
      <c r="K10" s="20"/>
      <c r="L10" s="21" t="s">
        <v>18</v>
      </c>
      <c r="M10" s="23">
        <v>73</v>
      </c>
      <c r="N10" s="20"/>
      <c r="O10" s="20"/>
      <c r="P10" s="20"/>
      <c r="Q10" s="21" t="s">
        <v>48</v>
      </c>
      <c r="R10" s="23">
        <v>1</v>
      </c>
    </row>
    <row r="11" spans="1:18" ht="45" customHeight="1" x14ac:dyDescent="0.3">
      <c r="A11" s="1" t="s">
        <v>2</v>
      </c>
      <c r="B11" t="s">
        <v>19</v>
      </c>
      <c r="D11" s="4" t="s">
        <v>53</v>
      </c>
      <c r="E11" s="22">
        <v>18</v>
      </c>
      <c r="K11" s="20"/>
      <c r="L11" s="21" t="s">
        <v>20</v>
      </c>
      <c r="M11" s="23">
        <v>55</v>
      </c>
      <c r="N11" s="20"/>
      <c r="O11" s="20"/>
      <c r="P11" s="20"/>
      <c r="Q11" s="21" t="s">
        <v>49</v>
      </c>
      <c r="R11" s="23">
        <v>1</v>
      </c>
    </row>
    <row r="12" spans="1:18" x14ac:dyDescent="0.3">
      <c r="A12" s="4" t="s">
        <v>78</v>
      </c>
      <c r="B12" s="2"/>
      <c r="D12" s="4" t="s">
        <v>54</v>
      </c>
      <c r="E12" s="22">
        <v>11</v>
      </c>
      <c r="F12" s="9" t="s">
        <v>21</v>
      </c>
      <c r="G12" t="s">
        <v>22</v>
      </c>
      <c r="H12" t="s">
        <v>23</v>
      </c>
      <c r="K12" s="20"/>
      <c r="L12" s="21" t="s">
        <v>24</v>
      </c>
      <c r="M12" s="23">
        <v>51</v>
      </c>
      <c r="N12" s="20"/>
      <c r="O12" s="20"/>
      <c r="P12" s="20"/>
      <c r="Q12" s="21" t="s">
        <v>50</v>
      </c>
      <c r="R12" s="23">
        <v>1</v>
      </c>
    </row>
    <row r="13" spans="1:18" x14ac:dyDescent="0.3">
      <c r="A13" s="14" t="s">
        <v>47</v>
      </c>
      <c r="B13" s="2">
        <v>8</v>
      </c>
      <c r="D13" s="4" t="s">
        <v>55</v>
      </c>
      <c r="E13" s="22">
        <v>12</v>
      </c>
      <c r="F13" t="str">
        <f>F7</f>
        <v>Admitted</v>
      </c>
      <c r="G13">
        <f t="shared" ref="G13:H14" si="0">G7</f>
        <v>234</v>
      </c>
      <c r="H13">
        <f t="shared" si="0"/>
        <v>0.47368421052631576</v>
      </c>
      <c r="K13" s="20"/>
      <c r="L13" s="21" t="s">
        <v>25</v>
      </c>
      <c r="M13" s="23">
        <v>67</v>
      </c>
      <c r="N13" s="20"/>
      <c r="O13" s="20"/>
      <c r="P13" s="20"/>
      <c r="Q13" s="21" t="s">
        <v>51</v>
      </c>
      <c r="R13" s="23">
        <v>1</v>
      </c>
    </row>
    <row r="14" spans="1:18" x14ac:dyDescent="0.3">
      <c r="A14" s="14" t="s">
        <v>48</v>
      </c>
      <c r="B14" s="2">
        <v>4</v>
      </c>
      <c r="D14" s="4" t="s">
        <v>56</v>
      </c>
      <c r="E14" s="22">
        <v>24</v>
      </c>
      <c r="F14" t="str">
        <f>F8</f>
        <v>Not Admitted</v>
      </c>
      <c r="G14">
        <f t="shared" si="0"/>
        <v>260</v>
      </c>
      <c r="H14">
        <f t="shared" si="0"/>
        <v>0.52631578947368418</v>
      </c>
      <c r="K14" s="20"/>
      <c r="L14" s="21" t="s">
        <v>26</v>
      </c>
      <c r="M14" s="23">
        <v>47</v>
      </c>
      <c r="N14" s="20"/>
      <c r="O14" s="20"/>
      <c r="P14" s="20"/>
      <c r="Q14" s="21" t="s">
        <v>52</v>
      </c>
      <c r="R14" s="23">
        <v>1</v>
      </c>
    </row>
    <row r="15" spans="1:18" x14ac:dyDescent="0.3">
      <c r="A15" s="14" t="s">
        <v>49</v>
      </c>
      <c r="B15" s="2">
        <v>5.333333333333333</v>
      </c>
      <c r="D15" s="4" t="s">
        <v>57</v>
      </c>
      <c r="E15" s="22">
        <v>16</v>
      </c>
      <c r="K15" s="20"/>
      <c r="L15" s="21" t="s">
        <v>6</v>
      </c>
      <c r="M15" s="23">
        <v>494</v>
      </c>
      <c r="N15" s="20"/>
      <c r="O15" s="20"/>
      <c r="P15" s="20"/>
      <c r="Q15" s="21" t="s">
        <v>53</v>
      </c>
      <c r="R15" s="23">
        <v>1</v>
      </c>
    </row>
    <row r="16" spans="1:18" x14ac:dyDescent="0.3">
      <c r="A16" s="14" t="s">
        <v>50</v>
      </c>
      <c r="B16" s="2">
        <v>4.666666666666667</v>
      </c>
      <c r="D16" s="4" t="s">
        <v>58</v>
      </c>
      <c r="E16" s="22">
        <v>21</v>
      </c>
      <c r="K16" s="20"/>
      <c r="L16" s="20"/>
      <c r="M16" s="20"/>
      <c r="N16" s="20"/>
      <c r="O16" s="20"/>
      <c r="P16" s="20"/>
      <c r="Q16" s="21" t="s">
        <v>54</v>
      </c>
      <c r="R16" s="23">
        <v>1</v>
      </c>
    </row>
    <row r="17" spans="1:18" x14ac:dyDescent="0.3">
      <c r="A17" s="14" t="s">
        <v>51</v>
      </c>
      <c r="B17" s="2">
        <v>6.2</v>
      </c>
      <c r="D17" s="4" t="s">
        <v>59</v>
      </c>
      <c r="E17" s="22">
        <v>16</v>
      </c>
      <c r="K17" s="20"/>
      <c r="L17" s="20"/>
      <c r="M17" s="20"/>
      <c r="N17" s="20"/>
      <c r="O17" s="20"/>
      <c r="P17" s="20"/>
      <c r="Q17" s="21" t="s">
        <v>55</v>
      </c>
      <c r="R17" s="23">
        <v>1</v>
      </c>
    </row>
    <row r="18" spans="1:18" x14ac:dyDescent="0.3">
      <c r="A18" s="14" t="s">
        <v>52</v>
      </c>
      <c r="B18" s="2">
        <v>6.333333333333333</v>
      </c>
      <c r="D18" s="4" t="s">
        <v>60</v>
      </c>
      <c r="E18" s="22">
        <v>15</v>
      </c>
      <c r="K18" s="20"/>
      <c r="L18" s="20"/>
      <c r="M18" s="20"/>
      <c r="N18" s="20"/>
      <c r="O18" s="20"/>
      <c r="P18" s="20"/>
      <c r="Q18" s="21" t="s">
        <v>56</v>
      </c>
      <c r="R18" s="23">
        <v>1</v>
      </c>
    </row>
    <row r="19" spans="1:18" x14ac:dyDescent="0.3">
      <c r="A19" s="14" t="s">
        <v>53</v>
      </c>
      <c r="B19" s="2">
        <v>9.5</v>
      </c>
      <c r="D19" s="4" t="s">
        <v>61</v>
      </c>
      <c r="E19" s="22">
        <v>14</v>
      </c>
      <c r="K19" s="20"/>
      <c r="L19" s="20"/>
      <c r="M19" s="20"/>
      <c r="N19" s="20"/>
      <c r="O19" s="20"/>
      <c r="P19" s="20"/>
      <c r="Q19" s="21" t="s">
        <v>57</v>
      </c>
      <c r="R19" s="23">
        <v>1</v>
      </c>
    </row>
    <row r="20" spans="1:18" x14ac:dyDescent="0.3">
      <c r="A20" s="14" t="s">
        <v>54</v>
      </c>
      <c r="B20" s="2">
        <v>2</v>
      </c>
      <c r="D20" s="4" t="s">
        <v>62</v>
      </c>
      <c r="E20" s="22">
        <v>18</v>
      </c>
      <c r="K20" s="20"/>
      <c r="L20" s="20"/>
      <c r="M20" s="20"/>
      <c r="N20" s="20"/>
      <c r="O20" s="20"/>
      <c r="P20" s="20"/>
      <c r="Q20" s="21" t="s">
        <v>58</v>
      </c>
      <c r="R20" s="23">
        <v>1</v>
      </c>
    </row>
    <row r="21" spans="1:18" x14ac:dyDescent="0.3">
      <c r="A21" s="14" t="s">
        <v>55</v>
      </c>
      <c r="B21" s="2">
        <v>6.666666666666667</v>
      </c>
      <c r="D21" s="4" t="s">
        <v>63</v>
      </c>
      <c r="E21" s="22">
        <v>12</v>
      </c>
      <c r="K21" s="20"/>
      <c r="L21" s="20"/>
      <c r="M21" s="20"/>
      <c r="N21" s="20"/>
      <c r="O21" s="20"/>
      <c r="P21" s="20"/>
      <c r="Q21" s="21" t="s">
        <v>59</v>
      </c>
      <c r="R21" s="23">
        <v>1</v>
      </c>
    </row>
    <row r="22" spans="1:18" x14ac:dyDescent="0.3">
      <c r="A22" s="14" t="s">
        <v>56</v>
      </c>
      <c r="B22" s="2">
        <v>2.25</v>
      </c>
      <c r="D22" s="4" t="s">
        <v>64</v>
      </c>
      <c r="E22" s="22">
        <v>18</v>
      </c>
      <c r="G22" s="16"/>
      <c r="H22" s="16"/>
      <c r="K22" s="20"/>
      <c r="L22" s="20"/>
      <c r="M22" s="20"/>
      <c r="N22" s="20"/>
      <c r="O22" s="20"/>
      <c r="P22" s="20"/>
      <c r="Q22" s="21" t="s">
        <v>60</v>
      </c>
      <c r="R22" s="23">
        <v>1</v>
      </c>
    </row>
    <row r="23" spans="1:18" x14ac:dyDescent="0.3">
      <c r="A23" s="14" t="s">
        <v>57</v>
      </c>
      <c r="B23" s="2">
        <v>3</v>
      </c>
      <c r="D23" s="4" t="s">
        <v>65</v>
      </c>
      <c r="E23" s="22">
        <v>16</v>
      </c>
      <c r="G23" s="4"/>
      <c r="K23" s="20"/>
      <c r="L23" s="20"/>
      <c r="M23" s="20"/>
      <c r="N23" s="20"/>
      <c r="O23" s="20"/>
      <c r="P23" s="20"/>
      <c r="Q23" s="21" t="s">
        <v>61</v>
      </c>
      <c r="R23" s="23">
        <v>1</v>
      </c>
    </row>
    <row r="24" spans="1:18" x14ac:dyDescent="0.3">
      <c r="A24" s="14" t="s">
        <v>58</v>
      </c>
      <c r="B24" s="2">
        <v>4.7142857142857144</v>
      </c>
      <c r="D24" s="4" t="s">
        <v>66</v>
      </c>
      <c r="E24" s="22">
        <v>22</v>
      </c>
      <c r="K24" s="20"/>
      <c r="L24" s="20"/>
      <c r="M24" s="20"/>
      <c r="N24" s="20"/>
      <c r="O24" s="20"/>
      <c r="P24" s="20"/>
      <c r="Q24" s="21" t="s">
        <v>62</v>
      </c>
      <c r="R24" s="23">
        <v>1</v>
      </c>
    </row>
    <row r="25" spans="1:18" x14ac:dyDescent="0.3">
      <c r="A25" s="14" t="s">
        <v>59</v>
      </c>
      <c r="B25" s="2">
        <v>10</v>
      </c>
      <c r="D25" s="4" t="s">
        <v>67</v>
      </c>
      <c r="E25" s="22">
        <v>16</v>
      </c>
      <c r="K25" s="20"/>
      <c r="L25" s="20"/>
      <c r="M25" s="20"/>
      <c r="N25" s="20"/>
      <c r="O25" s="20"/>
      <c r="P25" s="20"/>
      <c r="Q25" s="21" t="s">
        <v>63</v>
      </c>
      <c r="R25" s="23">
        <v>1</v>
      </c>
    </row>
    <row r="26" spans="1:18" x14ac:dyDescent="0.3">
      <c r="A26" s="14" t="s">
        <v>60</v>
      </c>
      <c r="B26" s="2">
        <v>5.666666666666667</v>
      </c>
      <c r="D26" s="4" t="s">
        <v>68</v>
      </c>
      <c r="E26" s="22">
        <v>10</v>
      </c>
      <c r="K26" s="20"/>
      <c r="L26" s="20"/>
      <c r="M26" s="20"/>
      <c r="N26" s="20"/>
      <c r="O26" s="20"/>
      <c r="P26" s="20"/>
      <c r="Q26" s="21" t="s">
        <v>64</v>
      </c>
      <c r="R26" s="23">
        <v>1</v>
      </c>
    </row>
    <row r="27" spans="1:18" x14ac:dyDescent="0.3">
      <c r="A27" s="14" t="s">
        <v>61</v>
      </c>
      <c r="B27" s="2">
        <v>5</v>
      </c>
      <c r="D27" s="4" t="s">
        <v>69</v>
      </c>
      <c r="E27" s="22">
        <v>18</v>
      </c>
      <c r="K27" s="20"/>
      <c r="L27" s="20"/>
      <c r="M27" s="20"/>
      <c r="N27" s="20"/>
      <c r="O27" s="20"/>
      <c r="P27" s="20"/>
      <c r="Q27" s="21" t="s">
        <v>65</v>
      </c>
      <c r="R27" s="23">
        <v>1</v>
      </c>
    </row>
    <row r="28" spans="1:18" x14ac:dyDescent="0.3">
      <c r="A28" s="14" t="s">
        <v>62</v>
      </c>
      <c r="B28" s="2">
        <v>3</v>
      </c>
      <c r="D28" s="4" t="s">
        <v>70</v>
      </c>
      <c r="E28" s="22">
        <v>13</v>
      </c>
      <c r="K28" s="20"/>
      <c r="L28" s="20"/>
      <c r="M28" s="20"/>
      <c r="N28" s="20"/>
      <c r="O28" s="20"/>
      <c r="P28" s="20"/>
      <c r="Q28" s="21" t="s">
        <v>66</v>
      </c>
      <c r="R28" s="23">
        <v>1</v>
      </c>
    </row>
    <row r="29" spans="1:18" x14ac:dyDescent="0.3">
      <c r="A29" s="14" t="s">
        <v>63</v>
      </c>
      <c r="B29" s="2">
        <v>5.333333333333333</v>
      </c>
      <c r="D29" s="4" t="s">
        <v>71</v>
      </c>
      <c r="E29" s="22">
        <v>20</v>
      </c>
      <c r="K29" s="20"/>
      <c r="L29" s="20"/>
      <c r="M29" s="20"/>
      <c r="N29" s="20"/>
      <c r="O29" s="20"/>
      <c r="P29" s="20"/>
      <c r="Q29" s="21" t="s">
        <v>67</v>
      </c>
      <c r="R29" s="23">
        <v>1</v>
      </c>
    </row>
    <row r="30" spans="1:18" x14ac:dyDescent="0.3">
      <c r="A30" s="14" t="s">
        <v>64</v>
      </c>
      <c r="B30" s="2">
        <v>5.833333333333333</v>
      </c>
      <c r="D30" s="4" t="s">
        <v>72</v>
      </c>
      <c r="E30" s="22">
        <v>17</v>
      </c>
      <c r="K30" s="20"/>
      <c r="L30" s="20"/>
      <c r="M30" s="20"/>
      <c r="N30" s="20"/>
      <c r="O30" s="20"/>
      <c r="P30" s="20"/>
      <c r="Q30" s="21" t="s">
        <v>68</v>
      </c>
      <c r="R30" s="23">
        <v>1</v>
      </c>
    </row>
    <row r="31" spans="1:18" x14ac:dyDescent="0.3">
      <c r="A31" s="14" t="s">
        <v>65</v>
      </c>
      <c r="B31" s="2">
        <v>5.8</v>
      </c>
      <c r="D31" s="4" t="s">
        <v>73</v>
      </c>
      <c r="E31" s="22">
        <v>19</v>
      </c>
      <c r="K31" s="20"/>
      <c r="L31" s="20"/>
      <c r="M31" s="20"/>
      <c r="N31" s="20"/>
      <c r="O31" s="20"/>
      <c r="P31" s="20"/>
      <c r="Q31" s="21" t="s">
        <v>69</v>
      </c>
      <c r="R31" s="23">
        <v>1</v>
      </c>
    </row>
    <row r="32" spans="1:18" x14ac:dyDescent="0.3">
      <c r="A32" s="14" t="s">
        <v>66</v>
      </c>
      <c r="B32" s="2">
        <v>5.2</v>
      </c>
      <c r="D32" s="4" t="s">
        <v>74</v>
      </c>
      <c r="E32" s="22">
        <v>17</v>
      </c>
      <c r="K32" s="20"/>
      <c r="L32" s="20"/>
      <c r="M32" s="20"/>
      <c r="N32" s="20"/>
      <c r="O32" s="20"/>
      <c r="P32" s="20"/>
      <c r="Q32" s="21" t="s">
        <v>70</v>
      </c>
      <c r="R32" s="23">
        <v>1</v>
      </c>
    </row>
    <row r="33" spans="1:18" x14ac:dyDescent="0.3">
      <c r="A33" s="14" t="s">
        <v>67</v>
      </c>
      <c r="B33" s="2">
        <v>4.5</v>
      </c>
      <c r="D33" s="4" t="s">
        <v>75</v>
      </c>
      <c r="E33" s="22">
        <v>22</v>
      </c>
      <c r="Q33" s="21" t="s">
        <v>71</v>
      </c>
      <c r="R33" s="23">
        <v>1</v>
      </c>
    </row>
    <row r="34" spans="1:18" x14ac:dyDescent="0.3">
      <c r="A34" s="14" t="s">
        <v>68</v>
      </c>
      <c r="B34" s="2">
        <v>6</v>
      </c>
      <c r="D34" s="4" t="s">
        <v>76</v>
      </c>
      <c r="E34" s="22">
        <v>9</v>
      </c>
      <c r="Q34" s="21" t="s">
        <v>72</v>
      </c>
      <c r="R34" s="23">
        <v>1</v>
      </c>
    </row>
    <row r="35" spans="1:18" x14ac:dyDescent="0.3">
      <c r="A35" s="14" t="s">
        <v>69</v>
      </c>
      <c r="B35" s="2">
        <v>6.5</v>
      </c>
      <c r="D35" s="4" t="s">
        <v>77</v>
      </c>
      <c r="E35" s="22">
        <v>9</v>
      </c>
      <c r="Q35" s="21" t="s">
        <v>73</v>
      </c>
      <c r="R35" s="23">
        <v>1</v>
      </c>
    </row>
    <row r="36" spans="1:18" x14ac:dyDescent="0.3">
      <c r="A36" s="14" t="s">
        <v>70</v>
      </c>
      <c r="B36" s="2">
        <v>4.166666666666667</v>
      </c>
      <c r="D36" s="4" t="s">
        <v>6</v>
      </c>
      <c r="E36" s="22">
        <v>494</v>
      </c>
      <c r="Q36" s="21" t="s">
        <v>74</v>
      </c>
      <c r="R36" s="23">
        <v>1</v>
      </c>
    </row>
    <row r="37" spans="1:18" x14ac:dyDescent="0.3">
      <c r="A37" s="14" t="s">
        <v>71</v>
      </c>
      <c r="B37" s="2">
        <v>3.6666666666666665</v>
      </c>
      <c r="Q37" s="21" t="s">
        <v>75</v>
      </c>
      <c r="R37" s="23">
        <v>1</v>
      </c>
    </row>
    <row r="38" spans="1:18" x14ac:dyDescent="0.3">
      <c r="A38" s="14" t="s">
        <v>72</v>
      </c>
      <c r="B38" s="2">
        <v>3.5</v>
      </c>
      <c r="Q38" s="21" t="s">
        <v>76</v>
      </c>
      <c r="R38" s="23">
        <v>1</v>
      </c>
    </row>
    <row r="39" spans="1:18" x14ac:dyDescent="0.3">
      <c r="A39" s="14" t="s">
        <v>73</v>
      </c>
      <c r="B39" s="2">
        <v>6</v>
      </c>
      <c r="Q39" s="21" t="s">
        <v>77</v>
      </c>
      <c r="R39" s="23">
        <v>1</v>
      </c>
    </row>
    <row r="40" spans="1:18" x14ac:dyDescent="0.3">
      <c r="A40" s="14" t="s">
        <v>74</v>
      </c>
      <c r="B40" s="2">
        <v>5.1428571428571432</v>
      </c>
      <c r="G40" t="s">
        <v>27</v>
      </c>
      <c r="K40" t="s">
        <v>28</v>
      </c>
      <c r="Q40" s="21" t="s">
        <v>6</v>
      </c>
      <c r="R40" s="23">
        <v>31</v>
      </c>
    </row>
    <row r="41" spans="1:18" x14ac:dyDescent="0.3">
      <c r="A41" s="14" t="s">
        <v>75</v>
      </c>
      <c r="B41" s="2">
        <v>4</v>
      </c>
      <c r="D41" s="17"/>
      <c r="E41" s="17"/>
      <c r="G41" s="20" t="s">
        <v>2</v>
      </c>
      <c r="H41" s="20" t="s">
        <v>29</v>
      </c>
      <c r="K41" s="20" t="s">
        <v>2</v>
      </c>
      <c r="L41" s="20" t="s">
        <v>30</v>
      </c>
    </row>
    <row r="42" spans="1:18" x14ac:dyDescent="0.3">
      <c r="A42" s="14" t="s">
        <v>76</v>
      </c>
      <c r="B42" s="2">
        <v>3.5</v>
      </c>
      <c r="D42" s="18"/>
      <c r="E42" s="19"/>
      <c r="G42" s="21" t="s">
        <v>31</v>
      </c>
      <c r="H42" s="23">
        <v>241</v>
      </c>
      <c r="K42" s="21" t="s">
        <v>32</v>
      </c>
      <c r="L42" s="23">
        <v>307</v>
      </c>
    </row>
    <row r="43" spans="1:18" x14ac:dyDescent="0.3">
      <c r="A43" s="14" t="s">
        <v>77</v>
      </c>
      <c r="B43" s="2">
        <v>5</v>
      </c>
      <c r="G43" s="21" t="s">
        <v>33</v>
      </c>
      <c r="H43" s="23">
        <v>253</v>
      </c>
      <c r="K43" s="21" t="s">
        <v>34</v>
      </c>
      <c r="L43" s="23">
        <v>187</v>
      </c>
    </row>
    <row r="44" spans="1:18" x14ac:dyDescent="0.3">
      <c r="A44" s="4" t="s">
        <v>6</v>
      </c>
      <c r="B44" s="2">
        <v>5.0629921259842519</v>
      </c>
      <c r="G44" s="21" t="s">
        <v>6</v>
      </c>
      <c r="H44" s="23">
        <v>494</v>
      </c>
      <c r="K44" s="21" t="s">
        <v>6</v>
      </c>
      <c r="L44" s="23">
        <v>494</v>
      </c>
    </row>
    <row r="47" spans="1:18" x14ac:dyDescent="0.3">
      <c r="D47" t="s">
        <v>27</v>
      </c>
    </row>
    <row r="48" spans="1:18" x14ac:dyDescent="0.3">
      <c r="D48" s="20" t="s">
        <v>2</v>
      </c>
    </row>
    <row r="49" spans="4:8" x14ac:dyDescent="0.3">
      <c r="D49" s="21" t="s">
        <v>35</v>
      </c>
      <c r="G49" t="s">
        <v>27</v>
      </c>
    </row>
    <row r="50" spans="4:8" x14ac:dyDescent="0.3">
      <c r="D50" s="21" t="s">
        <v>6</v>
      </c>
      <c r="G50" s="20" t="s">
        <v>2</v>
      </c>
      <c r="H50" s="20" t="s">
        <v>36</v>
      </c>
    </row>
    <row r="51" spans="4:8" x14ac:dyDescent="0.3">
      <c r="G51" s="21" t="s">
        <v>37</v>
      </c>
      <c r="H51" s="23">
        <v>17</v>
      </c>
    </row>
    <row r="52" spans="4:8" x14ac:dyDescent="0.3">
      <c r="G52" s="21" t="s">
        <v>38</v>
      </c>
      <c r="H52" s="23">
        <v>8</v>
      </c>
    </row>
    <row r="53" spans="4:8" x14ac:dyDescent="0.3">
      <c r="G53" s="21" t="s">
        <v>39</v>
      </c>
      <c r="H53" s="23">
        <v>92</v>
      </c>
    </row>
    <row r="54" spans="4:8" x14ac:dyDescent="0.3">
      <c r="G54" s="21" t="s">
        <v>40</v>
      </c>
      <c r="H54" s="23">
        <v>8</v>
      </c>
    </row>
    <row r="55" spans="4:8" x14ac:dyDescent="0.3">
      <c r="G55" s="21" t="s">
        <v>41</v>
      </c>
      <c r="H55" s="23">
        <v>303</v>
      </c>
    </row>
    <row r="56" spans="4:8" x14ac:dyDescent="0.3">
      <c r="G56" s="21" t="s">
        <v>42</v>
      </c>
      <c r="H56" s="23">
        <v>49</v>
      </c>
    </row>
    <row r="57" spans="4:8" x14ac:dyDescent="0.3">
      <c r="G57" s="21" t="s">
        <v>43</v>
      </c>
      <c r="H57" s="23">
        <v>11</v>
      </c>
    </row>
    <row r="58" spans="4:8" x14ac:dyDescent="0.3">
      <c r="G58" s="21" t="s">
        <v>44</v>
      </c>
      <c r="H58" s="23">
        <v>6</v>
      </c>
    </row>
    <row r="59" spans="4:8" x14ac:dyDescent="0.3">
      <c r="G59" s="21" t="s">
        <v>6</v>
      </c>
      <c r="H59" s="23">
        <v>494</v>
      </c>
    </row>
  </sheetData>
  <pageMargins left="0.7" right="0.7" top="0.75" bottom="0.75" header="0.3" footer="0.3"/>
  <pageSetup orientation="portrait" r:id="rId12"/>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2576B-1095-4F4D-AB48-2561D74255D0}">
  <dimension ref="A1:N19"/>
  <sheetViews>
    <sheetView tabSelected="1" zoomScale="190" zoomScaleNormal="190" workbookViewId="0"/>
  </sheetViews>
  <sheetFormatPr defaultRowHeight="14.4" x14ac:dyDescent="0.3"/>
  <cols>
    <col min="5" max="5" width="8.88671875" customWidth="1"/>
    <col min="7" max="7" width="8.88671875" customWidth="1"/>
  </cols>
  <sheetData>
    <row r="1" spans="1:13" x14ac:dyDescent="0.3">
      <c r="A1" s="3"/>
      <c r="B1" s="3"/>
      <c r="C1" s="3"/>
      <c r="D1" s="3"/>
      <c r="E1" s="3"/>
      <c r="F1" s="3"/>
      <c r="G1" s="3"/>
      <c r="H1" s="3"/>
      <c r="I1" s="3"/>
      <c r="J1" s="3"/>
      <c r="K1" s="3"/>
      <c r="L1" s="3"/>
      <c r="M1" s="3"/>
    </row>
    <row r="2" spans="1:13" x14ac:dyDescent="0.3">
      <c r="A2" s="3"/>
      <c r="B2" s="3"/>
      <c r="C2" s="3"/>
      <c r="D2" s="3"/>
      <c r="E2" s="3"/>
      <c r="F2" s="3"/>
      <c r="G2" s="3"/>
      <c r="H2" s="3"/>
      <c r="I2" s="3"/>
      <c r="J2" s="3"/>
      <c r="K2" s="3"/>
      <c r="L2" s="3"/>
      <c r="M2" s="3"/>
    </row>
    <row r="3" spans="1:13" x14ac:dyDescent="0.3">
      <c r="A3" s="3"/>
      <c r="B3" s="3"/>
      <c r="C3" s="3"/>
      <c r="D3" s="3"/>
      <c r="E3" s="3"/>
      <c r="F3" s="3"/>
      <c r="G3" s="3"/>
      <c r="H3" s="3"/>
      <c r="I3" s="3"/>
      <c r="J3" s="3"/>
      <c r="K3" s="3"/>
      <c r="L3" s="3"/>
      <c r="M3" s="3"/>
    </row>
    <row r="4" spans="1:13" x14ac:dyDescent="0.3">
      <c r="A4" s="3"/>
      <c r="B4" s="3"/>
      <c r="C4" s="3"/>
      <c r="D4" s="3"/>
      <c r="E4" s="3"/>
      <c r="F4" s="3"/>
      <c r="G4" s="3"/>
      <c r="H4" s="3"/>
      <c r="I4" s="3"/>
      <c r="J4" s="3"/>
      <c r="K4" s="3"/>
      <c r="L4" s="3"/>
      <c r="M4" s="3"/>
    </row>
    <row r="5" spans="1:13" x14ac:dyDescent="0.3">
      <c r="A5" s="3"/>
      <c r="B5" s="3"/>
      <c r="C5" s="3"/>
      <c r="D5" s="3"/>
      <c r="E5" s="3"/>
      <c r="F5" s="3"/>
      <c r="G5" s="3"/>
      <c r="H5" s="3"/>
      <c r="I5" s="3"/>
      <c r="J5" s="3"/>
      <c r="K5" s="3"/>
      <c r="L5" s="3"/>
      <c r="M5" s="3"/>
    </row>
    <row r="6" spans="1:13" x14ac:dyDescent="0.3">
      <c r="A6" s="3"/>
      <c r="B6" s="3"/>
      <c r="C6" s="3"/>
      <c r="D6" s="3"/>
      <c r="E6" s="3"/>
      <c r="F6" s="3"/>
      <c r="G6" s="3"/>
      <c r="H6" s="3"/>
      <c r="I6" s="3"/>
      <c r="J6" s="3"/>
      <c r="K6" s="3"/>
      <c r="L6" s="3"/>
      <c r="M6" s="3"/>
    </row>
    <row r="7" spans="1:13" x14ac:dyDescent="0.3">
      <c r="A7" s="3"/>
      <c r="B7" s="3"/>
      <c r="C7" s="3"/>
      <c r="D7" s="3"/>
      <c r="E7" s="3"/>
      <c r="F7" s="3"/>
      <c r="G7" s="3"/>
      <c r="H7" s="3"/>
      <c r="I7" s="3"/>
      <c r="J7" s="3"/>
      <c r="K7" s="3"/>
      <c r="L7" s="3"/>
      <c r="M7" s="3"/>
    </row>
    <row r="8" spans="1:13" x14ac:dyDescent="0.3">
      <c r="A8" s="3"/>
      <c r="B8" s="3"/>
      <c r="C8" s="3"/>
      <c r="D8" s="3"/>
      <c r="E8" s="3"/>
      <c r="F8" s="3"/>
      <c r="G8" s="3"/>
      <c r="H8" s="3"/>
      <c r="I8" s="3"/>
      <c r="J8" s="3"/>
      <c r="K8" s="3"/>
      <c r="L8" s="3"/>
      <c r="M8" s="3"/>
    </row>
    <row r="9" spans="1:13" x14ac:dyDescent="0.3">
      <c r="A9" s="3"/>
      <c r="B9" s="3"/>
      <c r="C9" s="3"/>
      <c r="D9" s="3"/>
      <c r="E9" s="3"/>
      <c r="F9" s="3"/>
      <c r="G9" s="3"/>
      <c r="H9" s="3"/>
      <c r="I9" s="3"/>
      <c r="J9" s="3"/>
      <c r="K9" s="3"/>
      <c r="L9" s="3"/>
      <c r="M9" s="3"/>
    </row>
    <row r="10" spans="1:13" x14ac:dyDescent="0.3">
      <c r="A10" s="3"/>
      <c r="B10" s="3"/>
      <c r="C10" s="3"/>
      <c r="D10" s="3"/>
      <c r="E10" s="3"/>
      <c r="F10" s="3"/>
      <c r="G10" s="3"/>
      <c r="H10" s="3"/>
      <c r="I10" s="3"/>
      <c r="J10" s="3"/>
      <c r="K10" s="3"/>
      <c r="L10" s="3"/>
      <c r="M10" s="3"/>
    </row>
    <row r="11" spans="1:13" x14ac:dyDescent="0.3">
      <c r="A11" s="3"/>
      <c r="B11" s="3"/>
      <c r="C11" s="3"/>
      <c r="D11" s="3"/>
      <c r="E11" s="3"/>
      <c r="F11" s="3"/>
      <c r="G11" s="3"/>
      <c r="H11" s="3"/>
      <c r="I11" s="3"/>
      <c r="J11" s="3"/>
      <c r="K11" s="3"/>
      <c r="L11" s="3"/>
      <c r="M11" s="3"/>
    </row>
    <row r="12" spans="1:13" x14ac:dyDescent="0.3">
      <c r="A12" s="3"/>
      <c r="B12" s="3"/>
      <c r="C12" s="3"/>
      <c r="D12" s="3"/>
      <c r="E12" s="3"/>
      <c r="F12" s="3"/>
      <c r="G12" s="3"/>
      <c r="H12" s="3"/>
      <c r="I12" s="3"/>
      <c r="J12" s="3"/>
      <c r="K12" s="3"/>
      <c r="L12" s="3"/>
      <c r="M12" s="3"/>
    </row>
    <row r="13" spans="1:13" x14ac:dyDescent="0.3">
      <c r="A13" s="3"/>
      <c r="B13" s="3"/>
      <c r="C13" s="3"/>
      <c r="D13" s="3"/>
      <c r="E13" s="3"/>
      <c r="F13" s="3"/>
      <c r="G13" s="3"/>
      <c r="H13" s="3"/>
      <c r="I13" s="3"/>
      <c r="J13" s="3"/>
      <c r="K13" s="3"/>
      <c r="L13" s="3"/>
      <c r="M13" s="3"/>
    </row>
    <row r="14" spans="1:13" x14ac:dyDescent="0.3">
      <c r="A14" s="3"/>
      <c r="B14" s="3"/>
      <c r="C14" s="3"/>
      <c r="D14" s="3"/>
      <c r="E14" s="3"/>
      <c r="F14" s="3"/>
      <c r="G14" s="3"/>
      <c r="H14" s="3"/>
      <c r="I14" s="3"/>
      <c r="J14" s="3"/>
      <c r="K14" s="3"/>
      <c r="L14" s="3"/>
      <c r="M14" s="3"/>
    </row>
    <row r="15" spans="1:13" x14ac:dyDescent="0.3">
      <c r="A15" s="3"/>
      <c r="B15" s="3"/>
      <c r="C15" s="3"/>
      <c r="D15" s="3"/>
      <c r="E15" s="3"/>
      <c r="F15" s="3"/>
      <c r="G15" s="3"/>
      <c r="H15" s="3"/>
      <c r="I15" s="3"/>
      <c r="J15" s="3"/>
      <c r="K15" s="3"/>
      <c r="L15" s="3"/>
      <c r="M15" s="3"/>
    </row>
    <row r="16" spans="1:13" x14ac:dyDescent="0.3">
      <c r="A16" s="3"/>
      <c r="B16" s="3"/>
      <c r="C16" s="3"/>
      <c r="D16" s="3"/>
      <c r="E16" s="3"/>
      <c r="F16" s="3"/>
      <c r="G16" s="3"/>
      <c r="H16" s="3"/>
      <c r="I16" s="3"/>
      <c r="J16" s="3"/>
      <c r="K16" s="3"/>
      <c r="L16" s="3"/>
      <c r="M16" s="3"/>
    </row>
    <row r="17" spans="1:14" x14ac:dyDescent="0.3">
      <c r="A17" s="3"/>
      <c r="B17" s="3"/>
      <c r="C17" s="3"/>
      <c r="D17" s="3"/>
      <c r="E17" s="3"/>
      <c r="F17" s="3"/>
      <c r="G17" s="3"/>
      <c r="H17" s="3"/>
      <c r="I17" s="3"/>
      <c r="J17" s="3"/>
      <c r="K17" s="3"/>
      <c r="L17" s="3"/>
      <c r="M17" s="3"/>
      <c r="N17" s="3"/>
    </row>
    <row r="18" spans="1:14" x14ac:dyDescent="0.3">
      <c r="A18" s="3"/>
      <c r="B18" s="3"/>
      <c r="C18" s="3"/>
      <c r="D18" s="3"/>
      <c r="E18" s="3"/>
      <c r="F18" s="3"/>
      <c r="G18" s="3"/>
      <c r="H18" s="3"/>
      <c r="I18" s="3"/>
      <c r="J18" s="3"/>
      <c r="K18" s="3"/>
      <c r="L18" s="3"/>
      <c r="M18" s="3"/>
      <c r="N18" s="3"/>
    </row>
    <row r="19" spans="1:14" x14ac:dyDescent="0.3">
      <c r="A19" s="3"/>
      <c r="B19" s="3"/>
      <c r="C19" s="3"/>
      <c r="D19" s="3"/>
      <c r="E19" s="3"/>
      <c r="F19" s="3"/>
      <c r="G19" s="3"/>
      <c r="H19" s="3"/>
      <c r="I19" s="3"/>
      <c r="J19" s="3"/>
      <c r="K19" s="3"/>
      <c r="L19" s="3"/>
      <c r="M19" s="3"/>
      <c r="N19" s="3"/>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5D98A-DBAE-49BB-B5D9-F9965B634B22}">
  <dimension ref="A1:O18"/>
  <sheetViews>
    <sheetView zoomScale="160" zoomScaleNormal="160" workbookViewId="0"/>
  </sheetViews>
  <sheetFormatPr defaultRowHeight="14.4" x14ac:dyDescent="0.3"/>
  <sheetData>
    <row r="1" spans="1:15" x14ac:dyDescent="0.3">
      <c r="A1" s="5"/>
      <c r="B1" s="5"/>
      <c r="C1" s="5"/>
      <c r="D1" s="5"/>
      <c r="E1" s="5"/>
      <c r="F1" s="5"/>
      <c r="G1" s="5"/>
      <c r="H1" s="5"/>
      <c r="I1" s="5"/>
      <c r="J1" s="5"/>
      <c r="K1" s="5"/>
      <c r="L1" s="5"/>
      <c r="M1" s="5"/>
      <c r="N1" s="5"/>
      <c r="O1" s="5"/>
    </row>
    <row r="2" spans="1:15" x14ac:dyDescent="0.3">
      <c r="A2" s="5"/>
      <c r="B2" s="5"/>
      <c r="C2" s="5"/>
      <c r="D2" s="5"/>
      <c r="E2" s="5"/>
      <c r="F2" s="5"/>
      <c r="G2" s="5"/>
      <c r="H2" s="5"/>
      <c r="I2" s="5"/>
      <c r="J2" s="5"/>
      <c r="K2" s="5"/>
      <c r="L2" s="5"/>
      <c r="M2" s="5"/>
      <c r="N2" s="5"/>
      <c r="O2" s="5"/>
    </row>
    <row r="3" spans="1:15" x14ac:dyDescent="0.3">
      <c r="A3" s="5"/>
      <c r="B3" s="5"/>
      <c r="C3" s="5"/>
      <c r="D3" s="5"/>
      <c r="E3" s="5"/>
      <c r="F3" s="5"/>
      <c r="G3" s="5"/>
      <c r="H3" s="5"/>
      <c r="I3" s="5"/>
      <c r="J3" s="5"/>
      <c r="K3" s="5"/>
      <c r="L3" s="5"/>
      <c r="M3" s="5"/>
      <c r="N3" s="5"/>
      <c r="O3" s="5"/>
    </row>
    <row r="4" spans="1:15" x14ac:dyDescent="0.3">
      <c r="A4" s="5"/>
      <c r="B4" s="5"/>
      <c r="C4" s="5"/>
      <c r="D4" s="5"/>
      <c r="E4" s="5"/>
      <c r="F4" s="5"/>
      <c r="G4" s="5"/>
      <c r="H4" s="5"/>
      <c r="I4" s="5"/>
      <c r="J4" s="5"/>
      <c r="K4" s="5"/>
      <c r="L4" s="5"/>
      <c r="M4" s="5"/>
      <c r="N4" s="5"/>
      <c r="O4" s="5"/>
    </row>
    <row r="5" spans="1:15" x14ac:dyDescent="0.3">
      <c r="A5" s="5"/>
      <c r="B5" s="5"/>
      <c r="C5" s="5"/>
      <c r="D5" s="5"/>
      <c r="E5" s="5"/>
      <c r="F5" s="5"/>
      <c r="G5" s="5"/>
      <c r="H5" s="5"/>
      <c r="I5" s="5"/>
      <c r="J5" s="5"/>
      <c r="K5" s="5"/>
      <c r="L5" s="5"/>
      <c r="M5" s="5"/>
      <c r="N5" s="5"/>
      <c r="O5" s="5"/>
    </row>
    <row r="6" spans="1:15" x14ac:dyDescent="0.3">
      <c r="A6" s="5"/>
      <c r="B6" s="5"/>
      <c r="C6" s="5"/>
      <c r="D6" s="5"/>
      <c r="E6" s="5"/>
      <c r="F6" s="5"/>
      <c r="G6" s="5"/>
      <c r="H6" s="5"/>
      <c r="I6" s="5"/>
      <c r="J6" s="5"/>
      <c r="K6" s="5"/>
      <c r="L6" s="5"/>
      <c r="M6" s="5"/>
      <c r="N6" s="5"/>
      <c r="O6" s="5"/>
    </row>
    <row r="7" spans="1:15" x14ac:dyDescent="0.3">
      <c r="A7" s="5"/>
      <c r="B7" s="5"/>
      <c r="C7" s="5"/>
      <c r="D7" s="5"/>
      <c r="E7" s="5"/>
      <c r="F7" s="5"/>
      <c r="G7" s="5"/>
      <c r="H7" s="5"/>
      <c r="I7" s="5"/>
      <c r="J7" s="5"/>
      <c r="K7" s="5"/>
      <c r="L7" s="5"/>
      <c r="M7" s="5"/>
      <c r="N7" s="5"/>
      <c r="O7" s="5"/>
    </row>
    <row r="8" spans="1:15" x14ac:dyDescent="0.3">
      <c r="A8" s="5"/>
      <c r="B8" s="5"/>
      <c r="C8" s="5"/>
      <c r="D8" s="5"/>
      <c r="E8" s="5"/>
      <c r="F8" s="5"/>
      <c r="G8" s="5"/>
      <c r="H8" s="5"/>
      <c r="I8" s="5"/>
      <c r="J8" s="5"/>
      <c r="K8" s="5"/>
      <c r="L8" s="5"/>
      <c r="M8" s="5"/>
      <c r="N8" s="5"/>
      <c r="O8" s="5"/>
    </row>
    <row r="9" spans="1:15" x14ac:dyDescent="0.3">
      <c r="A9" s="5"/>
      <c r="B9" s="5"/>
      <c r="C9" s="5"/>
      <c r="D9" s="5"/>
      <c r="E9" s="5"/>
      <c r="F9" s="5"/>
      <c r="G9" s="5"/>
      <c r="H9" s="5"/>
      <c r="I9" s="5"/>
      <c r="J9" s="5"/>
      <c r="K9" s="5"/>
      <c r="L9" s="5"/>
      <c r="M9" s="5"/>
      <c r="N9" s="5"/>
      <c r="O9" s="5"/>
    </row>
    <row r="10" spans="1:15" x14ac:dyDescent="0.3">
      <c r="A10" s="5"/>
      <c r="B10" s="5"/>
      <c r="C10" s="5"/>
      <c r="D10" s="5"/>
      <c r="E10" s="5"/>
      <c r="F10" s="5"/>
      <c r="G10" s="5"/>
      <c r="H10" s="5"/>
      <c r="I10" s="5"/>
      <c r="J10" s="5"/>
      <c r="K10" s="5"/>
      <c r="L10" s="5"/>
      <c r="M10" s="5"/>
      <c r="N10" s="5"/>
      <c r="O10" s="5"/>
    </row>
    <row r="11" spans="1:15" x14ac:dyDescent="0.3">
      <c r="A11" s="5"/>
      <c r="B11" s="5"/>
      <c r="C11" s="5"/>
      <c r="D11" s="5"/>
      <c r="E11" s="5"/>
      <c r="F11" s="5"/>
      <c r="G11" s="5"/>
      <c r="H11" s="5"/>
      <c r="I11" s="5"/>
      <c r="J11" s="5"/>
      <c r="K11" s="5"/>
      <c r="L11" s="5"/>
      <c r="M11" s="5"/>
      <c r="N11" s="5"/>
      <c r="O11" s="5"/>
    </row>
    <row r="12" spans="1:15" x14ac:dyDescent="0.3">
      <c r="A12" s="5"/>
      <c r="B12" s="5"/>
      <c r="C12" s="5"/>
      <c r="D12" s="5"/>
      <c r="E12" s="5"/>
      <c r="F12" s="5"/>
      <c r="G12" s="5"/>
      <c r="H12" s="5"/>
      <c r="I12" s="5"/>
      <c r="J12" s="5"/>
      <c r="K12" s="5"/>
      <c r="L12" s="5"/>
      <c r="M12" s="5"/>
      <c r="N12" s="5"/>
      <c r="O12" s="5"/>
    </row>
    <row r="13" spans="1:15" x14ac:dyDescent="0.3">
      <c r="A13" s="5"/>
      <c r="B13" s="5"/>
      <c r="C13" s="5"/>
      <c r="D13" s="5"/>
      <c r="E13" s="5"/>
      <c r="F13" s="5"/>
      <c r="G13" s="5"/>
      <c r="H13" s="5"/>
      <c r="I13" s="5"/>
      <c r="J13" s="5"/>
      <c r="K13" s="5"/>
      <c r="L13" s="5"/>
      <c r="M13" s="5"/>
      <c r="N13" s="5"/>
      <c r="O13" s="5"/>
    </row>
    <row r="14" spans="1:15" x14ac:dyDescent="0.3">
      <c r="A14" s="5"/>
      <c r="B14" s="5"/>
      <c r="C14" s="5"/>
      <c r="D14" s="5"/>
      <c r="E14" s="5"/>
      <c r="F14" s="5"/>
      <c r="G14" s="5"/>
      <c r="H14" s="5"/>
      <c r="I14" s="5"/>
      <c r="J14" s="5"/>
      <c r="K14" s="5"/>
      <c r="L14" s="5"/>
      <c r="M14" s="5"/>
      <c r="N14" s="5"/>
      <c r="O14" s="5"/>
    </row>
    <row r="15" spans="1:15" x14ac:dyDescent="0.3">
      <c r="A15" s="5"/>
      <c r="B15" s="6" t="s">
        <v>45</v>
      </c>
      <c r="C15" s="5"/>
      <c r="D15" s="5"/>
      <c r="E15" s="5"/>
      <c r="F15" s="5"/>
      <c r="G15" s="5"/>
      <c r="H15" s="5"/>
      <c r="I15" s="5"/>
      <c r="J15" s="5"/>
      <c r="K15" s="5"/>
      <c r="L15" s="5"/>
      <c r="M15" s="5"/>
      <c r="N15" s="5"/>
      <c r="O15" s="5"/>
    </row>
    <row r="16" spans="1:15" x14ac:dyDescent="0.3">
      <c r="A16" s="5"/>
      <c r="B16" s="5"/>
      <c r="C16" s="5"/>
      <c r="D16" s="5"/>
      <c r="E16" s="5"/>
      <c r="F16" s="5"/>
      <c r="G16" s="5"/>
      <c r="H16" s="5"/>
      <c r="I16" s="5"/>
      <c r="J16" s="5"/>
      <c r="K16" s="5"/>
      <c r="L16" s="5"/>
      <c r="M16" s="5"/>
      <c r="N16" s="5"/>
      <c r="O16" s="5"/>
    </row>
    <row r="17" spans="1:15" x14ac:dyDescent="0.3">
      <c r="A17" s="5"/>
      <c r="B17" s="5"/>
      <c r="C17" s="5"/>
      <c r="D17" s="5"/>
      <c r="E17" s="5"/>
      <c r="F17" s="5"/>
      <c r="G17" s="5"/>
      <c r="H17" s="5"/>
      <c r="I17" s="5"/>
      <c r="J17" s="5"/>
      <c r="K17" s="5"/>
      <c r="L17" s="5"/>
      <c r="M17" s="5"/>
      <c r="N17" s="5"/>
      <c r="O17" s="5"/>
    </row>
    <row r="18" spans="1:15" x14ac:dyDescent="0.3">
      <c r="A18" s="5"/>
      <c r="B18" s="5"/>
      <c r="C18" s="5"/>
      <c r="D18" s="5"/>
      <c r="E18" s="5"/>
      <c r="F18" s="5"/>
      <c r="G18" s="5"/>
      <c r="H18" s="5"/>
      <c r="I18" s="5"/>
      <c r="J18" s="5"/>
      <c r="K18" s="5"/>
      <c r="L18" s="5"/>
      <c r="M18" s="5"/>
      <c r="N18" s="5"/>
      <c r="O18" s="5"/>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11A61-A5DC-4153-8014-E751C74AA94A}">
  <dimension ref="A1:Z47"/>
  <sheetViews>
    <sheetView zoomScale="145" zoomScaleNormal="145" workbookViewId="0"/>
  </sheetViews>
  <sheetFormatPr defaultRowHeight="14.4" x14ac:dyDescent="0.3"/>
  <sheetData>
    <row r="1" spans="1:26" x14ac:dyDescent="0.3">
      <c r="A1" s="7"/>
      <c r="B1" s="7"/>
      <c r="C1" s="7"/>
      <c r="D1" s="7"/>
      <c r="E1" s="7"/>
      <c r="F1" s="7"/>
      <c r="G1" s="7"/>
      <c r="H1" s="7"/>
      <c r="I1" s="7"/>
      <c r="J1" s="7"/>
      <c r="K1" s="7"/>
      <c r="L1" s="7"/>
      <c r="M1" s="7"/>
      <c r="N1" s="7"/>
      <c r="O1" s="7"/>
      <c r="P1" s="7"/>
      <c r="Q1" s="7"/>
      <c r="R1" s="7"/>
      <c r="S1" s="7"/>
      <c r="T1" s="7"/>
      <c r="U1" s="7"/>
      <c r="V1" s="7"/>
      <c r="W1" s="7"/>
      <c r="X1" s="7"/>
      <c r="Y1" s="7"/>
      <c r="Z1" s="7"/>
    </row>
    <row r="2" spans="1:26" x14ac:dyDescent="0.3">
      <c r="A2" s="7"/>
      <c r="B2" s="7"/>
      <c r="C2" s="7"/>
      <c r="D2" s="7"/>
      <c r="E2" s="7"/>
      <c r="F2" s="7"/>
      <c r="G2" s="7"/>
      <c r="H2" s="7"/>
      <c r="I2" s="7"/>
      <c r="J2" s="7"/>
      <c r="K2" s="7"/>
      <c r="L2" s="7"/>
      <c r="M2" s="7"/>
      <c r="N2" s="7"/>
      <c r="O2" s="7"/>
      <c r="P2" s="7"/>
      <c r="Q2" s="7"/>
      <c r="R2" s="7"/>
      <c r="S2" s="7"/>
      <c r="T2" s="7"/>
      <c r="U2" s="7"/>
      <c r="V2" s="7"/>
      <c r="W2" s="7"/>
      <c r="X2" s="7"/>
      <c r="Y2" s="7"/>
      <c r="Z2" s="7"/>
    </row>
    <row r="3" spans="1:26" x14ac:dyDescent="0.3">
      <c r="A3" s="7"/>
      <c r="B3" s="7"/>
      <c r="C3" s="7"/>
      <c r="D3" s="7"/>
      <c r="E3" s="7"/>
      <c r="F3" s="7"/>
      <c r="G3" s="7"/>
      <c r="H3" s="7"/>
      <c r="I3" s="7"/>
      <c r="J3" s="7"/>
      <c r="K3" s="7"/>
      <c r="L3" s="7"/>
      <c r="M3" s="7"/>
      <c r="N3" s="7"/>
      <c r="O3" s="7"/>
      <c r="P3" s="7"/>
      <c r="Q3" s="7"/>
      <c r="R3" s="7"/>
      <c r="S3" s="7"/>
      <c r="T3" s="7"/>
      <c r="U3" s="7"/>
      <c r="V3" s="7"/>
      <c r="W3" s="7"/>
      <c r="X3" s="7"/>
      <c r="Y3" s="7"/>
      <c r="Z3" s="7"/>
    </row>
    <row r="4" spans="1:26" x14ac:dyDescent="0.3">
      <c r="A4" s="7"/>
      <c r="B4" s="7"/>
      <c r="C4" s="7"/>
      <c r="D4" s="7"/>
      <c r="E4" s="7"/>
      <c r="F4" s="7"/>
      <c r="G4" s="7"/>
      <c r="H4" s="7"/>
      <c r="I4" s="7"/>
      <c r="J4" s="7"/>
      <c r="K4" s="7"/>
      <c r="L4" s="7"/>
      <c r="M4" s="7"/>
      <c r="N4" s="7"/>
      <c r="O4" s="7"/>
      <c r="P4" s="7"/>
      <c r="Q4" s="7"/>
      <c r="R4" s="7"/>
      <c r="S4" s="7"/>
      <c r="T4" s="7"/>
      <c r="U4" s="7"/>
      <c r="V4" s="7"/>
      <c r="W4" s="7"/>
      <c r="X4" s="7"/>
      <c r="Y4" s="7"/>
      <c r="Z4" s="7"/>
    </row>
    <row r="5" spans="1:26" x14ac:dyDescent="0.3">
      <c r="A5" s="7"/>
      <c r="B5" s="7"/>
      <c r="C5" s="7"/>
      <c r="D5" s="7"/>
      <c r="E5" s="7"/>
      <c r="F5" s="7"/>
      <c r="G5" s="7"/>
      <c r="H5" s="7"/>
      <c r="I5" s="7"/>
      <c r="J5" s="7"/>
      <c r="K5" s="7"/>
      <c r="L5" s="7"/>
      <c r="M5" s="7"/>
      <c r="N5" s="7"/>
      <c r="O5" s="7"/>
      <c r="P5" s="7"/>
      <c r="Q5" s="7"/>
      <c r="R5" s="7"/>
      <c r="S5" s="7"/>
      <c r="T5" s="7"/>
      <c r="U5" s="7"/>
      <c r="V5" s="7"/>
      <c r="W5" s="7"/>
      <c r="X5" s="7"/>
      <c r="Y5" s="7"/>
      <c r="Z5" s="7"/>
    </row>
    <row r="6" spans="1:26" x14ac:dyDescent="0.3">
      <c r="A6" s="7"/>
      <c r="B6" s="7"/>
      <c r="C6" s="7"/>
      <c r="D6" s="7"/>
      <c r="E6" s="7"/>
      <c r="F6" s="7"/>
      <c r="G6" s="7"/>
      <c r="H6" s="7"/>
      <c r="I6" s="7"/>
      <c r="J6" s="7"/>
      <c r="K6" s="7"/>
      <c r="L6" s="7"/>
      <c r="M6" s="7"/>
      <c r="N6" s="7"/>
      <c r="O6" s="7"/>
      <c r="P6" s="7"/>
      <c r="Q6" s="7"/>
      <c r="R6" s="7"/>
      <c r="S6" s="7"/>
      <c r="T6" s="7"/>
      <c r="U6" s="7"/>
      <c r="V6" s="7"/>
      <c r="W6" s="7"/>
      <c r="X6" s="7"/>
      <c r="Y6" s="7"/>
      <c r="Z6" s="7"/>
    </row>
    <row r="7" spans="1:26" x14ac:dyDescent="0.3">
      <c r="A7" s="7"/>
      <c r="B7" s="7"/>
      <c r="C7" s="7"/>
      <c r="D7" s="7"/>
      <c r="E7" s="7"/>
      <c r="F7" s="7"/>
      <c r="G7" s="7"/>
      <c r="H7" s="7"/>
      <c r="I7" s="7"/>
      <c r="J7" s="7"/>
      <c r="K7" s="7"/>
      <c r="L7" s="7"/>
      <c r="M7" s="7"/>
      <c r="N7" s="7"/>
      <c r="O7" s="7"/>
      <c r="P7" s="7"/>
      <c r="Q7" s="7"/>
      <c r="R7" s="7"/>
      <c r="S7" s="7"/>
      <c r="T7" s="7"/>
      <c r="U7" s="7"/>
      <c r="V7" s="7"/>
      <c r="W7" s="7"/>
      <c r="X7" s="7"/>
      <c r="Y7" s="7"/>
      <c r="Z7" s="7"/>
    </row>
    <row r="8" spans="1:26" x14ac:dyDescent="0.3">
      <c r="A8" s="7"/>
      <c r="B8" s="7"/>
      <c r="C8" s="7"/>
      <c r="D8" s="7"/>
      <c r="E8" s="7"/>
      <c r="F8" s="7"/>
      <c r="G8" s="7"/>
      <c r="H8" s="7"/>
      <c r="I8" s="7"/>
      <c r="J8" s="7"/>
      <c r="K8" s="7"/>
      <c r="L8" s="7"/>
      <c r="M8" s="7"/>
      <c r="N8" s="7"/>
      <c r="O8" s="7"/>
      <c r="P8" s="7"/>
      <c r="Q8" s="7"/>
      <c r="R8" s="7"/>
      <c r="S8" s="7"/>
      <c r="T8" s="7"/>
      <c r="U8" s="7"/>
      <c r="V8" s="7"/>
      <c r="W8" s="7"/>
      <c r="X8" s="7"/>
      <c r="Y8" s="7"/>
      <c r="Z8" s="7"/>
    </row>
    <row r="9" spans="1:26" x14ac:dyDescent="0.3">
      <c r="A9" s="7"/>
      <c r="B9" s="7"/>
      <c r="C9" s="7"/>
      <c r="D9" s="7"/>
      <c r="E9" s="7"/>
      <c r="F9" s="7"/>
      <c r="G9" s="7"/>
      <c r="H9" s="7"/>
      <c r="I9" s="7"/>
      <c r="J9" s="7"/>
      <c r="K9" s="7"/>
      <c r="L9" s="7"/>
      <c r="M9" s="7"/>
      <c r="N9" s="7"/>
      <c r="O9" s="7"/>
      <c r="P9" s="7"/>
      <c r="Q9" s="7"/>
      <c r="R9" s="7"/>
      <c r="S9" s="7"/>
      <c r="T9" s="7"/>
      <c r="U9" s="7"/>
      <c r="V9" s="7"/>
      <c r="W9" s="7"/>
      <c r="X9" s="7"/>
      <c r="Y9" s="7"/>
      <c r="Z9" s="7"/>
    </row>
    <row r="10" spans="1:26" x14ac:dyDescent="0.3">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x14ac:dyDescent="0.3">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x14ac:dyDescent="0.3">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x14ac:dyDescent="0.3">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x14ac:dyDescent="0.3">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x14ac:dyDescent="0.3">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x14ac:dyDescent="0.3">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x14ac:dyDescent="0.3">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x14ac:dyDescent="0.3">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x14ac:dyDescent="0.3">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x14ac:dyDescent="0.3">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25.8" x14ac:dyDescent="0.3">
      <c r="A21" s="8" t="s">
        <v>46</v>
      </c>
      <c r="B21" s="7"/>
      <c r="C21" s="7"/>
      <c r="D21" s="7"/>
      <c r="E21" s="7"/>
      <c r="F21" s="7"/>
      <c r="G21" s="7"/>
      <c r="H21" s="7"/>
      <c r="I21" s="7"/>
      <c r="J21" s="7"/>
      <c r="K21" s="7"/>
      <c r="L21" s="7"/>
      <c r="M21" s="7"/>
      <c r="N21" s="7"/>
      <c r="O21" s="7"/>
      <c r="P21" s="7"/>
      <c r="Q21" s="7"/>
      <c r="R21" s="7"/>
      <c r="S21" s="7"/>
      <c r="T21" s="7"/>
      <c r="U21" s="7"/>
      <c r="V21" s="7"/>
      <c r="W21" s="7"/>
      <c r="X21" s="7"/>
      <c r="Y21" s="7"/>
      <c r="Z21" s="7"/>
    </row>
    <row r="22" spans="1:26" x14ac:dyDescent="0.3">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x14ac:dyDescent="0.3">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x14ac:dyDescent="0.3">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x14ac:dyDescent="0.3">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3">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x14ac:dyDescent="0.3">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x14ac:dyDescent="0.3">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x14ac:dyDescent="0.3">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x14ac:dyDescent="0.3">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x14ac:dyDescent="0.3">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x14ac:dyDescent="0.3">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x14ac:dyDescent="0.3">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x14ac:dyDescent="0.3">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x14ac:dyDescent="0.3">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x14ac:dyDescent="0.3">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x14ac:dyDescent="0.3">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x14ac:dyDescent="0.3">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x14ac:dyDescent="0.3">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x14ac:dyDescent="0.3">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x14ac:dyDescent="0.3">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x14ac:dyDescent="0.3">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x14ac:dyDescent="0.3">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x14ac:dyDescent="0.3">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x14ac:dyDescent="0.3">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x14ac:dyDescent="0.3">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x14ac:dyDescent="0.3">
      <c r="A47" s="7"/>
      <c r="B47" s="7"/>
      <c r="C47" s="7"/>
      <c r="D47" s="7"/>
      <c r="E47" s="7"/>
      <c r="F47" s="7"/>
      <c r="G47" s="7"/>
      <c r="H47" s="7"/>
      <c r="I47" s="7"/>
      <c r="J47" s="7"/>
      <c r="K47" s="7"/>
      <c r="L47" s="7"/>
      <c r="M47" s="7"/>
      <c r="N47" s="7"/>
      <c r="O47" s="7"/>
      <c r="P47" s="7"/>
      <c r="Q47" s="7"/>
      <c r="R47" s="7"/>
      <c r="S47" s="7"/>
      <c r="T47" s="7"/>
      <c r="U47" s="7"/>
      <c r="V47" s="7"/>
      <c r="W47" s="7"/>
      <c r="X47" s="7"/>
      <c r="Y47" s="7"/>
      <c r="Z47" s="7"/>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6C435-BA20-43E3-AF17-9496701C6AC8}">
  <dimension ref="A1:T33"/>
  <sheetViews>
    <sheetView zoomScale="145" zoomScaleNormal="145" workbookViewId="0"/>
  </sheetViews>
  <sheetFormatPr defaultRowHeight="14.4" x14ac:dyDescent="0.3"/>
  <sheetData>
    <row r="1" spans="1:20" x14ac:dyDescent="0.3">
      <c r="A1" s="15"/>
      <c r="B1" s="15"/>
      <c r="C1" s="15"/>
      <c r="D1" s="15"/>
      <c r="E1" s="15"/>
      <c r="F1" s="15"/>
      <c r="G1" s="15"/>
      <c r="H1" s="15"/>
      <c r="I1" s="15"/>
      <c r="J1" s="15"/>
      <c r="K1" s="15"/>
      <c r="L1" s="15"/>
      <c r="M1" s="15"/>
      <c r="N1" s="15"/>
      <c r="O1" s="15"/>
      <c r="P1" s="15"/>
      <c r="Q1" s="15"/>
      <c r="R1" s="15"/>
      <c r="S1" s="15"/>
      <c r="T1" s="15"/>
    </row>
    <row r="2" spans="1:20" x14ac:dyDescent="0.3">
      <c r="A2" s="15"/>
      <c r="B2" s="15"/>
      <c r="C2" s="15"/>
      <c r="D2" s="15"/>
      <c r="E2" s="15"/>
      <c r="F2" s="15"/>
      <c r="G2" s="15"/>
      <c r="H2" s="15"/>
      <c r="I2" s="15"/>
      <c r="J2" s="15"/>
      <c r="K2" s="15"/>
      <c r="L2" s="15"/>
      <c r="M2" s="15"/>
      <c r="N2" s="15"/>
      <c r="O2" s="15"/>
      <c r="P2" s="15"/>
      <c r="Q2" s="15"/>
      <c r="R2" s="15"/>
      <c r="S2" s="15"/>
      <c r="T2" s="15"/>
    </row>
    <row r="3" spans="1:20" x14ac:dyDescent="0.3">
      <c r="A3" s="15"/>
      <c r="B3" s="15"/>
      <c r="C3" s="15"/>
      <c r="D3" s="15"/>
      <c r="E3" s="15"/>
      <c r="F3" s="15"/>
      <c r="G3" s="15"/>
      <c r="H3" s="15"/>
      <c r="I3" s="15"/>
      <c r="J3" s="15"/>
      <c r="K3" s="15"/>
      <c r="L3" s="15"/>
      <c r="M3" s="15"/>
      <c r="N3" s="15"/>
      <c r="O3" s="15"/>
      <c r="P3" s="15"/>
      <c r="Q3" s="15"/>
      <c r="R3" s="15"/>
      <c r="S3" s="15"/>
      <c r="T3" s="15"/>
    </row>
    <row r="4" spans="1:20" x14ac:dyDescent="0.3">
      <c r="A4" s="15"/>
      <c r="B4" s="15"/>
      <c r="C4" s="15"/>
      <c r="D4" s="15"/>
      <c r="E4" s="15"/>
      <c r="F4" s="15"/>
      <c r="G4" s="15"/>
      <c r="H4" s="15"/>
      <c r="I4" s="15"/>
      <c r="J4" s="15"/>
      <c r="K4" s="15"/>
      <c r="L4" s="15"/>
      <c r="M4" s="15"/>
      <c r="N4" s="15"/>
      <c r="O4" s="15"/>
      <c r="P4" s="15"/>
      <c r="Q4" s="15"/>
      <c r="R4" s="15"/>
      <c r="S4" s="15"/>
      <c r="T4" s="15"/>
    </row>
    <row r="5" spans="1:20" x14ac:dyDescent="0.3">
      <c r="A5" s="15"/>
      <c r="B5" s="15"/>
      <c r="C5" s="15"/>
      <c r="D5" s="15"/>
      <c r="E5" s="15"/>
      <c r="F5" s="15"/>
      <c r="G5" s="15"/>
      <c r="H5" s="15"/>
      <c r="I5" s="15"/>
      <c r="J5" s="15"/>
      <c r="K5" s="15"/>
      <c r="L5" s="15"/>
      <c r="M5" s="15"/>
      <c r="N5" s="15"/>
      <c r="O5" s="15"/>
      <c r="P5" s="15"/>
      <c r="Q5" s="15"/>
      <c r="R5" s="15"/>
      <c r="S5" s="15"/>
      <c r="T5" s="15"/>
    </row>
    <row r="6" spans="1:20" x14ac:dyDescent="0.3">
      <c r="A6" s="15"/>
      <c r="B6" s="15"/>
      <c r="C6" s="15"/>
      <c r="D6" s="15"/>
      <c r="E6" s="15"/>
      <c r="F6" s="15"/>
      <c r="G6" s="15"/>
      <c r="H6" s="15"/>
      <c r="I6" s="15"/>
      <c r="J6" s="15"/>
      <c r="K6" s="15"/>
      <c r="L6" s="15"/>
      <c r="M6" s="15"/>
      <c r="N6" s="15"/>
      <c r="O6" s="15"/>
      <c r="P6" s="15"/>
      <c r="Q6" s="15"/>
      <c r="R6" s="15"/>
      <c r="S6" s="15"/>
      <c r="T6" s="15"/>
    </row>
    <row r="7" spans="1:20" x14ac:dyDescent="0.3">
      <c r="A7" s="15"/>
      <c r="B7" s="15"/>
      <c r="C7" s="15"/>
      <c r="D7" s="15"/>
      <c r="E7" s="15"/>
      <c r="F7" s="15"/>
      <c r="G7" s="15"/>
      <c r="H7" s="15"/>
      <c r="I7" s="15"/>
      <c r="J7" s="15"/>
      <c r="K7" s="15"/>
      <c r="L7" s="15"/>
      <c r="M7" s="15"/>
      <c r="N7" s="15"/>
      <c r="O7" s="15"/>
      <c r="P7" s="15"/>
      <c r="Q7" s="15"/>
      <c r="R7" s="15"/>
      <c r="S7" s="15"/>
      <c r="T7" s="15"/>
    </row>
    <row r="8" spans="1:20" x14ac:dyDescent="0.3">
      <c r="A8" s="15"/>
      <c r="B8" s="15"/>
      <c r="C8" s="15"/>
      <c r="D8" s="15"/>
      <c r="E8" s="15"/>
      <c r="F8" s="15"/>
      <c r="G8" s="15"/>
      <c r="H8" s="15"/>
      <c r="I8" s="15"/>
      <c r="J8" s="15"/>
      <c r="K8" s="15"/>
      <c r="L8" s="15"/>
      <c r="M8" s="15"/>
      <c r="N8" s="15"/>
      <c r="O8" s="15"/>
      <c r="P8" s="15"/>
      <c r="Q8" s="15"/>
      <c r="R8" s="15"/>
      <c r="S8" s="15"/>
      <c r="T8" s="15"/>
    </row>
    <row r="9" spans="1:20" x14ac:dyDescent="0.3">
      <c r="A9" s="15"/>
      <c r="B9" s="15"/>
      <c r="C9" s="15"/>
      <c r="D9" s="15"/>
      <c r="E9" s="15"/>
      <c r="F9" s="15"/>
      <c r="G9" s="15"/>
      <c r="H9" s="15"/>
      <c r="I9" s="15"/>
      <c r="J9" s="15"/>
      <c r="K9" s="15"/>
      <c r="L9" s="15"/>
      <c r="M9" s="15"/>
      <c r="N9" s="15"/>
      <c r="O9" s="15"/>
      <c r="P9" s="15"/>
      <c r="Q9" s="15"/>
      <c r="R9" s="15"/>
      <c r="S9" s="15"/>
      <c r="T9" s="15"/>
    </row>
    <row r="10" spans="1:20" x14ac:dyDescent="0.3">
      <c r="A10" s="15"/>
      <c r="B10" s="15"/>
      <c r="C10" s="15"/>
      <c r="D10" s="15"/>
      <c r="E10" s="15"/>
      <c r="F10" s="15"/>
      <c r="G10" s="15"/>
      <c r="H10" s="15"/>
      <c r="I10" s="15"/>
      <c r="J10" s="15"/>
      <c r="K10" s="15"/>
      <c r="L10" s="15"/>
      <c r="M10" s="15"/>
      <c r="N10" s="15"/>
      <c r="O10" s="15"/>
      <c r="P10" s="15"/>
      <c r="Q10" s="15"/>
      <c r="R10" s="15"/>
      <c r="S10" s="15"/>
      <c r="T10" s="15"/>
    </row>
    <row r="11" spans="1:20" x14ac:dyDescent="0.3">
      <c r="A11" s="15"/>
      <c r="B11" s="15"/>
      <c r="C11" s="15"/>
      <c r="D11" s="15"/>
      <c r="E11" s="15"/>
      <c r="F11" s="15"/>
      <c r="G11" s="15"/>
      <c r="H11" s="15"/>
      <c r="I11" s="15"/>
      <c r="J11" s="15"/>
      <c r="K11" s="15"/>
      <c r="L11" s="15"/>
      <c r="M11" s="15"/>
      <c r="N11" s="15"/>
      <c r="O11" s="15"/>
      <c r="P11" s="15"/>
      <c r="Q11" s="15"/>
      <c r="R11" s="15"/>
      <c r="S11" s="15"/>
      <c r="T11" s="15"/>
    </row>
    <row r="12" spans="1:20" x14ac:dyDescent="0.3">
      <c r="A12" s="15"/>
      <c r="B12" s="15"/>
      <c r="C12" s="15"/>
      <c r="D12" s="15"/>
      <c r="E12" s="15"/>
      <c r="F12" s="15"/>
      <c r="G12" s="15"/>
      <c r="H12" s="15"/>
      <c r="I12" s="15"/>
      <c r="J12" s="15"/>
      <c r="K12" s="15"/>
      <c r="L12" s="15"/>
      <c r="M12" s="15"/>
      <c r="N12" s="15"/>
      <c r="O12" s="15"/>
      <c r="P12" s="15"/>
      <c r="Q12" s="15"/>
      <c r="R12" s="15"/>
      <c r="S12" s="15"/>
      <c r="T12" s="15"/>
    </row>
    <row r="13" spans="1:20" x14ac:dyDescent="0.3">
      <c r="A13" s="15"/>
      <c r="B13" s="15"/>
      <c r="C13" s="15"/>
      <c r="D13" s="15"/>
      <c r="E13" s="15"/>
      <c r="F13" s="15"/>
      <c r="G13" s="15"/>
      <c r="H13" s="15"/>
      <c r="I13" s="15"/>
      <c r="J13" s="15"/>
      <c r="K13" s="15"/>
      <c r="L13" s="15"/>
      <c r="M13" s="15"/>
      <c r="N13" s="15"/>
      <c r="O13" s="15"/>
      <c r="P13" s="15"/>
      <c r="Q13" s="15"/>
      <c r="R13" s="15"/>
      <c r="S13" s="15"/>
      <c r="T13" s="15"/>
    </row>
    <row r="14" spans="1:20" x14ac:dyDescent="0.3">
      <c r="A14" s="15"/>
      <c r="B14" s="15"/>
      <c r="C14" s="15"/>
      <c r="D14" s="15"/>
      <c r="E14" s="15"/>
      <c r="F14" s="15"/>
      <c r="G14" s="15"/>
      <c r="H14" s="15"/>
      <c r="I14" s="15"/>
      <c r="J14" s="15"/>
      <c r="K14" s="15"/>
      <c r="L14" s="15"/>
      <c r="M14" s="15"/>
      <c r="N14" s="15"/>
      <c r="O14" s="15"/>
      <c r="P14" s="15"/>
      <c r="Q14" s="15"/>
      <c r="R14" s="15"/>
      <c r="S14" s="15"/>
      <c r="T14" s="15"/>
    </row>
    <row r="15" spans="1:20" x14ac:dyDescent="0.3">
      <c r="A15" s="15"/>
      <c r="B15" s="15"/>
      <c r="C15" s="15"/>
      <c r="D15" s="15"/>
      <c r="E15" s="15"/>
      <c r="F15" s="15"/>
      <c r="G15" s="15"/>
      <c r="H15" s="15"/>
      <c r="I15" s="15"/>
      <c r="J15" s="15"/>
      <c r="K15" s="15"/>
      <c r="L15" s="15"/>
      <c r="M15" s="15"/>
      <c r="N15" s="15"/>
      <c r="O15" s="15"/>
      <c r="P15" s="15"/>
      <c r="Q15" s="15"/>
      <c r="R15" s="15"/>
      <c r="S15" s="15"/>
      <c r="T15" s="15"/>
    </row>
    <row r="16" spans="1:20" x14ac:dyDescent="0.3">
      <c r="A16" s="15"/>
      <c r="B16" s="15"/>
      <c r="C16" s="15"/>
      <c r="D16" s="15"/>
      <c r="E16" s="15"/>
      <c r="F16" s="15"/>
      <c r="G16" s="15"/>
      <c r="H16" s="15"/>
      <c r="I16" s="15"/>
      <c r="J16" s="15"/>
      <c r="K16" s="15"/>
      <c r="L16" s="15"/>
      <c r="M16" s="15"/>
      <c r="N16" s="15"/>
      <c r="O16" s="15"/>
      <c r="P16" s="15"/>
      <c r="Q16" s="15"/>
      <c r="R16" s="15"/>
      <c r="S16" s="15"/>
      <c r="T16" s="15"/>
    </row>
    <row r="17" spans="1:20" x14ac:dyDescent="0.3">
      <c r="A17" s="15"/>
      <c r="B17" s="15"/>
      <c r="C17" s="15"/>
      <c r="D17" s="15"/>
      <c r="E17" s="15"/>
      <c r="F17" s="15"/>
      <c r="G17" s="15"/>
      <c r="H17" s="15"/>
      <c r="I17" s="15"/>
      <c r="J17" s="15"/>
      <c r="K17" s="15"/>
      <c r="L17" s="15"/>
      <c r="M17" s="15"/>
      <c r="N17" s="15"/>
      <c r="O17" s="15"/>
      <c r="P17" s="15"/>
      <c r="Q17" s="15"/>
      <c r="R17" s="15"/>
      <c r="S17" s="15"/>
      <c r="T17" s="15"/>
    </row>
    <row r="18" spans="1:20" x14ac:dyDescent="0.3">
      <c r="A18" s="15"/>
      <c r="B18" s="15"/>
      <c r="C18" s="15"/>
      <c r="D18" s="15"/>
      <c r="E18" s="15"/>
      <c r="F18" s="15"/>
      <c r="G18" s="15"/>
      <c r="H18" s="15"/>
      <c r="I18" s="15"/>
      <c r="J18" s="15"/>
      <c r="K18" s="15"/>
      <c r="L18" s="15"/>
      <c r="M18" s="15"/>
      <c r="N18" s="15"/>
      <c r="O18" s="15"/>
      <c r="P18" s="15"/>
      <c r="Q18" s="15"/>
      <c r="R18" s="15"/>
      <c r="S18" s="15"/>
      <c r="T18" s="15"/>
    </row>
    <row r="19" spans="1:20" x14ac:dyDescent="0.3">
      <c r="A19" s="15"/>
      <c r="B19" s="15"/>
      <c r="C19" s="15"/>
      <c r="D19" s="15"/>
      <c r="E19" s="15"/>
      <c r="F19" s="15"/>
      <c r="G19" s="15"/>
      <c r="H19" s="15"/>
      <c r="I19" s="15"/>
      <c r="J19" s="15"/>
      <c r="K19" s="15"/>
      <c r="L19" s="15"/>
      <c r="M19" s="15"/>
      <c r="N19" s="15"/>
      <c r="O19" s="15"/>
      <c r="P19" s="15"/>
      <c r="Q19" s="15"/>
      <c r="R19" s="15"/>
      <c r="S19" s="15"/>
      <c r="T19" s="15"/>
    </row>
    <row r="20" spans="1:20" x14ac:dyDescent="0.3">
      <c r="A20" s="15"/>
      <c r="B20" s="15"/>
      <c r="C20" s="15"/>
      <c r="D20" s="15"/>
      <c r="E20" s="15"/>
      <c r="F20" s="15"/>
      <c r="G20" s="15"/>
      <c r="H20" s="15"/>
      <c r="I20" s="15"/>
      <c r="J20" s="15"/>
      <c r="K20" s="15"/>
      <c r="L20" s="15"/>
      <c r="M20" s="15"/>
      <c r="N20" s="15"/>
      <c r="O20" s="15"/>
      <c r="P20" s="15"/>
      <c r="Q20" s="15"/>
      <c r="R20" s="15"/>
      <c r="S20" s="15"/>
      <c r="T20" s="15"/>
    </row>
    <row r="21" spans="1:20" x14ac:dyDescent="0.3">
      <c r="A21" s="15"/>
      <c r="B21" s="15"/>
      <c r="C21" s="15"/>
      <c r="D21" s="15"/>
      <c r="E21" s="15"/>
      <c r="F21" s="15"/>
      <c r="G21" s="15"/>
      <c r="H21" s="15"/>
      <c r="I21" s="15"/>
      <c r="J21" s="15"/>
      <c r="K21" s="15"/>
      <c r="L21" s="15"/>
      <c r="M21" s="15"/>
      <c r="N21" s="15"/>
      <c r="O21" s="15"/>
      <c r="P21" s="15"/>
      <c r="Q21" s="15"/>
      <c r="R21" s="15"/>
      <c r="S21" s="15"/>
      <c r="T21" s="15"/>
    </row>
    <row r="22" spans="1:20" x14ac:dyDescent="0.3">
      <c r="A22" s="15"/>
      <c r="B22" s="15"/>
      <c r="C22" s="15"/>
      <c r="D22" s="15"/>
      <c r="E22" s="15"/>
      <c r="F22" s="15"/>
      <c r="G22" s="15"/>
      <c r="H22" s="15"/>
      <c r="I22" s="15"/>
      <c r="J22" s="15"/>
      <c r="K22" s="15"/>
      <c r="L22" s="15"/>
      <c r="M22" s="15"/>
      <c r="N22" s="15"/>
      <c r="O22" s="15"/>
      <c r="P22" s="15"/>
      <c r="Q22" s="15"/>
      <c r="R22" s="15"/>
      <c r="S22" s="15"/>
      <c r="T22" s="15"/>
    </row>
    <row r="23" spans="1:20" x14ac:dyDescent="0.3">
      <c r="A23" s="15"/>
      <c r="B23" s="15"/>
      <c r="C23" s="15"/>
      <c r="D23" s="15"/>
      <c r="E23" s="15"/>
      <c r="F23" s="15"/>
      <c r="G23" s="15"/>
      <c r="H23" s="15"/>
      <c r="I23" s="15"/>
      <c r="J23" s="15"/>
      <c r="K23" s="15"/>
      <c r="L23" s="15"/>
      <c r="M23" s="15"/>
      <c r="N23" s="15"/>
      <c r="O23" s="15"/>
      <c r="P23" s="15"/>
      <c r="Q23" s="15"/>
      <c r="R23" s="15"/>
      <c r="S23" s="15"/>
      <c r="T23" s="15"/>
    </row>
    <row r="24" spans="1:20" x14ac:dyDescent="0.3">
      <c r="A24" s="15"/>
      <c r="B24" s="15"/>
      <c r="C24" s="15"/>
      <c r="D24" s="15"/>
      <c r="E24" s="15"/>
      <c r="F24" s="15"/>
      <c r="G24" s="15"/>
      <c r="H24" s="15"/>
      <c r="I24" s="15"/>
      <c r="J24" s="15"/>
      <c r="K24" s="15"/>
      <c r="L24" s="15"/>
      <c r="M24" s="15"/>
      <c r="N24" s="15"/>
      <c r="O24" s="15"/>
      <c r="P24" s="15"/>
      <c r="Q24" s="15"/>
      <c r="R24" s="15"/>
      <c r="S24" s="15"/>
      <c r="T24" s="15"/>
    </row>
    <row r="25" spans="1:20" x14ac:dyDescent="0.3">
      <c r="A25" s="15"/>
      <c r="B25" s="15"/>
      <c r="C25" s="15"/>
      <c r="D25" s="15"/>
      <c r="E25" s="15"/>
      <c r="F25" s="15"/>
      <c r="G25" s="15"/>
      <c r="H25" s="15"/>
      <c r="I25" s="15"/>
      <c r="J25" s="15"/>
      <c r="K25" s="15"/>
      <c r="L25" s="15"/>
      <c r="M25" s="15"/>
      <c r="N25" s="15"/>
      <c r="O25" s="15"/>
      <c r="P25" s="15"/>
      <c r="Q25" s="15"/>
      <c r="R25" s="15"/>
      <c r="S25" s="15"/>
      <c r="T25" s="15"/>
    </row>
    <row r="26" spans="1:20" x14ac:dyDescent="0.3">
      <c r="A26" s="15"/>
      <c r="B26" s="15"/>
      <c r="C26" s="15"/>
      <c r="D26" s="15"/>
      <c r="E26" s="15"/>
      <c r="F26" s="15"/>
      <c r="G26" s="15"/>
      <c r="H26" s="15"/>
      <c r="I26" s="15"/>
      <c r="J26" s="15"/>
      <c r="K26" s="15"/>
      <c r="L26" s="15"/>
      <c r="M26" s="15"/>
      <c r="N26" s="15"/>
      <c r="O26" s="15"/>
      <c r="P26" s="15"/>
      <c r="Q26" s="15"/>
      <c r="R26" s="15"/>
      <c r="S26" s="15"/>
      <c r="T26" s="15"/>
    </row>
    <row r="27" spans="1:20" x14ac:dyDescent="0.3">
      <c r="A27" s="15"/>
      <c r="B27" s="15"/>
      <c r="C27" s="15"/>
      <c r="D27" s="15"/>
      <c r="E27" s="15"/>
      <c r="F27" s="15"/>
      <c r="G27" s="15"/>
      <c r="H27" s="15"/>
      <c r="I27" s="15"/>
      <c r="J27" s="15"/>
      <c r="K27" s="15"/>
      <c r="L27" s="15"/>
      <c r="M27" s="15"/>
      <c r="N27" s="15"/>
      <c r="O27" s="15"/>
      <c r="P27" s="15"/>
      <c r="Q27" s="15"/>
      <c r="R27" s="15"/>
      <c r="S27" s="15"/>
      <c r="T27" s="15"/>
    </row>
    <row r="28" spans="1:20" x14ac:dyDescent="0.3">
      <c r="A28" s="15"/>
      <c r="B28" s="15"/>
      <c r="C28" s="15"/>
      <c r="D28" s="15"/>
      <c r="E28" s="15"/>
      <c r="F28" s="15"/>
      <c r="G28" s="15"/>
      <c r="H28" s="15"/>
      <c r="I28" s="15"/>
      <c r="J28" s="15"/>
      <c r="K28" s="15"/>
      <c r="L28" s="15"/>
      <c r="M28" s="15"/>
      <c r="N28" s="15"/>
      <c r="O28" s="15"/>
      <c r="P28" s="15"/>
      <c r="Q28" s="15"/>
      <c r="R28" s="15"/>
      <c r="S28" s="15"/>
      <c r="T28" s="15"/>
    </row>
    <row r="29" spans="1:20" x14ac:dyDescent="0.3">
      <c r="A29" s="15"/>
      <c r="B29" s="15"/>
      <c r="C29" s="15"/>
      <c r="D29" s="15"/>
      <c r="E29" s="15"/>
      <c r="F29" s="15"/>
      <c r="G29" s="15"/>
      <c r="H29" s="15"/>
      <c r="I29" s="15"/>
      <c r="J29" s="15"/>
      <c r="K29" s="15"/>
      <c r="L29" s="15"/>
      <c r="M29" s="15"/>
      <c r="N29" s="15"/>
      <c r="O29" s="15"/>
      <c r="P29" s="15"/>
      <c r="Q29" s="15"/>
      <c r="R29" s="15"/>
      <c r="S29" s="15"/>
      <c r="T29" s="15"/>
    </row>
    <row r="30" spans="1:20" x14ac:dyDescent="0.3">
      <c r="A30" s="15"/>
      <c r="B30" s="15"/>
      <c r="C30" s="15"/>
      <c r="D30" s="15"/>
      <c r="E30" s="15"/>
      <c r="F30" s="15"/>
      <c r="G30" s="15"/>
      <c r="H30" s="15"/>
      <c r="I30" s="15"/>
      <c r="J30" s="15"/>
      <c r="K30" s="15"/>
      <c r="L30" s="15"/>
      <c r="M30" s="15"/>
      <c r="N30" s="15"/>
      <c r="O30" s="15"/>
      <c r="P30" s="15"/>
      <c r="Q30" s="15"/>
      <c r="R30" s="15"/>
      <c r="S30" s="15"/>
      <c r="T30" s="15"/>
    </row>
    <row r="31" spans="1:20" x14ac:dyDescent="0.3">
      <c r="A31" s="15"/>
      <c r="B31" s="15"/>
      <c r="C31" s="15"/>
      <c r="D31" s="15"/>
      <c r="E31" s="15"/>
      <c r="F31" s="15"/>
      <c r="G31" s="15"/>
      <c r="H31" s="15"/>
      <c r="I31" s="15"/>
      <c r="J31" s="15"/>
      <c r="K31" s="15"/>
      <c r="L31" s="15"/>
      <c r="M31" s="15"/>
      <c r="N31" s="15"/>
      <c r="O31" s="15"/>
      <c r="P31" s="15"/>
      <c r="Q31" s="15"/>
      <c r="R31" s="15"/>
      <c r="S31" s="15"/>
      <c r="T31" s="15"/>
    </row>
    <row r="32" spans="1:20" x14ac:dyDescent="0.3">
      <c r="A32" s="15"/>
      <c r="B32" s="15"/>
      <c r="C32" s="15"/>
      <c r="D32" s="15"/>
      <c r="E32" s="15"/>
      <c r="F32" s="15"/>
      <c r="G32" s="15"/>
      <c r="H32" s="15"/>
      <c r="I32" s="15"/>
      <c r="J32" s="15"/>
      <c r="K32" s="15"/>
      <c r="L32" s="15"/>
      <c r="M32" s="15"/>
      <c r="N32" s="15"/>
      <c r="O32" s="15"/>
      <c r="P32" s="15"/>
      <c r="Q32" s="15"/>
      <c r="R32" s="15"/>
      <c r="S32" s="15"/>
      <c r="T32" s="15"/>
    </row>
    <row r="33" spans="1:20" x14ac:dyDescent="0.3">
      <c r="A33" s="15"/>
      <c r="B33" s="15"/>
      <c r="C33" s="15"/>
      <c r="D33" s="15"/>
      <c r="E33" s="15"/>
      <c r="F33" s="15"/>
      <c r="G33" s="15"/>
      <c r="H33" s="15"/>
      <c r="I33" s="15"/>
      <c r="J33" s="15"/>
      <c r="K33" s="15"/>
      <c r="L33" s="15"/>
      <c r="M33" s="15"/>
      <c r="N33" s="15"/>
      <c r="O33" s="15"/>
      <c r="P33" s="15"/>
      <c r="Q33" s="15"/>
      <c r="R33" s="15"/>
      <c r="S33" s="15"/>
      <c r="T33" s="15"/>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B8BDEDE-4214-43A8-A91B-EFF7D8108D07}">
  <ds:schemaRefs>
    <ds:schemaRef ds:uri="http://gemini/pivotcustomization/TableXML_Hospital Emergency Room Data_497b3d82-1e86-4619-a807-e441adf5c1ed"/>
  </ds:schemaRefs>
</ds:datastoreItem>
</file>

<file path=customXml/itemProps2.xml><?xml version="1.0" encoding="utf-8"?>
<ds:datastoreItem xmlns:ds="http://schemas.openxmlformats.org/officeDocument/2006/customXml" ds:itemID="{EF631061-662A-4C76-A663-6180C6F3DE64}">
  <ds:schemaRefs>
    <ds:schemaRef ds:uri="http://gemini/pivotcustomization/RelationshipAutoDetectionEnabled"/>
  </ds:schemaRefs>
</ds:datastoreItem>
</file>

<file path=customXml/itemProps3.xml><?xml version="1.0" encoding="utf-8"?>
<ds:datastoreItem xmlns:ds="http://schemas.openxmlformats.org/officeDocument/2006/customXml" ds:itemID="{C02E2CBA-E654-45B6-87C4-3FA895D372BA}">
  <ds:schemaRefs>
    <ds:schemaRef ds:uri="http://gemini/pivotcustomization/FormulaBarState"/>
  </ds:schemaRefs>
</ds:datastoreItem>
</file>

<file path=customXml/itemProps4.xml><?xml version="1.0" encoding="utf-8"?>
<ds:datastoreItem xmlns:ds="http://schemas.openxmlformats.org/officeDocument/2006/customXml" ds:itemID="{0185C27E-386B-4DDF-B4D2-A72EFD8613C7}">
  <ds:schemaRefs>
    <ds:schemaRef ds:uri="http://gemini/pivotcustomization/LinkedTableUpdateMode"/>
  </ds:schemaRefs>
</ds:datastoreItem>
</file>

<file path=customXml/itemProps5.xml><?xml version="1.0" encoding="utf-8"?>
<ds:datastoreItem xmlns:ds="http://schemas.openxmlformats.org/officeDocument/2006/customXml" ds:itemID="{61FCE7D1-8102-4BC7-8008-2E979091CA9B}">
  <ds:schemaRefs>
    <ds:schemaRef ds:uri="http://gemini/pivotcustomization/MeasureGridState"/>
  </ds:schemaRefs>
</ds:datastoreItem>
</file>

<file path=customXml/itemProps6.xml><?xml version="1.0" encoding="utf-8"?>
<ds:datastoreItem xmlns:ds="http://schemas.openxmlformats.org/officeDocument/2006/customXml" ds:itemID="{DD0BC13B-3645-4967-95E2-FF0132D9444B}">
  <ds:schemaRefs>
    <ds:schemaRef ds:uri="http://gemini/pivotcustomization/Diagrams"/>
  </ds:schemaRefs>
</ds:datastoreItem>
</file>

<file path=customXml/itemProps7.xml><?xml version="1.0" encoding="utf-8"?>
<ds:datastoreItem xmlns:ds="http://schemas.openxmlformats.org/officeDocument/2006/customXml" ds:itemID="{116593C4-B610-4EE8-AD5A-F6F7F6A81FB2}">
  <ds:schemaRefs>
    <ds:schemaRef ds:uri="http://gemini/pivotcustomization/TableOrder"/>
  </ds:schemaRefs>
</ds:datastoreItem>
</file>

<file path=customXml/itemProps8.xml><?xml version="1.0" encoding="utf-8"?>
<ds:datastoreItem xmlns:ds="http://schemas.openxmlformats.org/officeDocument/2006/customXml" ds:itemID="{76F94424-B096-41A8-ADA5-6B282CE2E1D9}">
  <ds:schemaRefs>
    <ds:schemaRef ds:uri="http://gemini/pivotcustomization/ErrorCache"/>
  </ds:schemaRefs>
</ds:datastoreItem>
</file>

<file path=customXml/itemProps9.xml><?xml version="1.0" encoding="utf-8"?>
<ds:datastoreItem xmlns:ds="http://schemas.openxmlformats.org/officeDocument/2006/customXml" ds:itemID="{3349D7B3-EC03-4202-A5B0-E3F8BE06278E}">
  <ds:schemaRefs>
    <ds:schemaRef ds:uri="http://gemini/pivotcustomization/IsSandboxEmbedded"/>
  </ds:schemaRefs>
</ds:datastoreItem>
</file>

<file path=customXml/itemProps10.xml><?xml version="1.0" encoding="utf-8"?>
<ds:datastoreItem xmlns:ds="http://schemas.openxmlformats.org/officeDocument/2006/customXml" ds:itemID="{BAE379F0-60C9-4BD7-8CA3-E9CB8EE0B7B3}">
  <ds:schemaRefs>
    <ds:schemaRef ds:uri="http://gemini/pivotcustomization/ManualCalcMode"/>
  </ds:schemaRefs>
</ds:datastoreItem>
</file>

<file path=customXml/itemProps11.xml><?xml version="1.0" encoding="utf-8"?>
<ds:datastoreItem xmlns:ds="http://schemas.openxmlformats.org/officeDocument/2006/customXml" ds:itemID="{475FF370-F0BF-47FA-A54F-78A3006A96FA}">
  <ds:schemaRefs>
    <ds:schemaRef ds:uri="http://gemini/pivotcustomization/ShowImplicitMeasures"/>
  </ds:schemaRefs>
</ds:datastoreItem>
</file>

<file path=customXml/itemProps12.xml><?xml version="1.0" encoding="utf-8"?>
<ds:datastoreItem xmlns:ds="http://schemas.openxmlformats.org/officeDocument/2006/customXml" ds:itemID="{D5ABD098-8F26-4449-BCD0-4C1CFFA069A0}">
  <ds:schemaRefs>
    <ds:schemaRef ds:uri="http://gemini/pivotcustomization/ClientWindowXML"/>
  </ds:schemaRefs>
</ds:datastoreItem>
</file>

<file path=customXml/itemProps13.xml><?xml version="1.0" encoding="utf-8"?>
<ds:datastoreItem xmlns:ds="http://schemas.openxmlformats.org/officeDocument/2006/customXml" ds:itemID="{46456E61-B037-4F6F-A77E-EFC146F68978}">
  <ds:schemaRefs>
    <ds:schemaRef ds:uri="http://gemini/pivotcustomization/TableXML_Calendar_Table_559d0792-a935-48b3-9fc6-1b3e80ac50c2"/>
  </ds:schemaRefs>
</ds:datastoreItem>
</file>

<file path=customXml/itemProps14.xml><?xml version="1.0" encoding="utf-8"?>
<ds:datastoreItem xmlns:ds="http://schemas.openxmlformats.org/officeDocument/2006/customXml" ds:itemID="{18E4113B-8D15-47D4-BF4B-E84BF0AB097C}">
  <ds:schemaRefs>
    <ds:schemaRef ds:uri="http://gemini/pivotcustomization/PowerPivotVersion"/>
  </ds:schemaRefs>
</ds:datastoreItem>
</file>

<file path=customXml/itemProps15.xml><?xml version="1.0" encoding="utf-8"?>
<ds:datastoreItem xmlns:ds="http://schemas.openxmlformats.org/officeDocument/2006/customXml" ds:itemID="{8F6E7591-6813-4DD6-8F69-4CFEAAAE715E}">
  <ds:schemaRefs>
    <ds:schemaRef ds:uri="http://gemini/pivotcustomization/TableWidget"/>
  </ds:schemaRefs>
</ds:datastoreItem>
</file>

<file path=customXml/itemProps16.xml><?xml version="1.0" encoding="utf-8"?>
<ds:datastoreItem xmlns:ds="http://schemas.openxmlformats.org/officeDocument/2006/customXml" ds:itemID="{EDD46A23-0D4C-42B9-B70B-3B028EF7A29D}">
  <ds:schemaRefs>
    <ds:schemaRef ds:uri="http://schemas.microsoft.com/DataMashup"/>
  </ds:schemaRefs>
</ds:datastoreItem>
</file>

<file path=customXml/itemProps17.xml><?xml version="1.0" encoding="utf-8"?>
<ds:datastoreItem xmlns:ds="http://schemas.openxmlformats.org/officeDocument/2006/customXml" ds:itemID="{80A69D05-6864-4142-A108-1BA96DFA4DE4}">
  <ds:schemaRefs>
    <ds:schemaRef ds:uri="http://gemini/pivotcustomization/ShowHidden"/>
  </ds:schemaRefs>
</ds:datastoreItem>
</file>

<file path=customXml/itemProps18.xml><?xml version="1.0" encoding="utf-8"?>
<ds:datastoreItem xmlns:ds="http://schemas.openxmlformats.org/officeDocument/2006/customXml" ds:itemID="{38C016C1-D068-436C-A2B3-8C27C4E28C54}">
  <ds:schemaRefs>
    <ds:schemaRef ds:uri="http://gemini/pivotcustomization/SandboxNonEmpt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Wait-Time</vt:lpstr>
      <vt:lpstr>Satisfaction Score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Satish Dhawale</dc:creator>
  <cp:keywords/>
  <dc:description/>
  <cp:lastModifiedBy>Dinesh Kumar</cp:lastModifiedBy>
  <cp:revision/>
  <dcterms:created xsi:type="dcterms:W3CDTF">2025-01-22T07:08:48Z</dcterms:created>
  <dcterms:modified xsi:type="dcterms:W3CDTF">2026-04-19T11:41:50Z</dcterms:modified>
  <cp:category/>
  <cp:contentStatus/>
</cp:coreProperties>
</file>